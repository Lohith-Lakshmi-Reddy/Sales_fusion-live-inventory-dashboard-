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3156aef0b94f3e4/Desktop/drive_excel/BI/"/>
    </mc:Choice>
  </mc:AlternateContent>
  <xr:revisionPtr revIDLastSave="0" documentId="8_{41EB7241-C4D4-4C6B-A322-C28F1408C389}" xr6:coauthVersionLast="47" xr6:coauthVersionMax="47" xr10:uidLastSave="{00000000-0000-0000-0000-000000000000}"/>
  <bookViews>
    <workbookView xWindow="-108" yWindow="-108" windowWidth="23256" windowHeight="13176" firstSheet="2" activeTab="2" xr2:uid="{BEA90B97-1350-4859-804A-7C03B91E8623}"/>
  </bookViews>
  <sheets>
    <sheet name="inventory_data" sheetId="1" r:id="rId1"/>
    <sheet name="pivot" sheetId="2" r:id="rId2"/>
    <sheet name="DASHBOARD" sheetId="3" r:id="rId3"/>
  </sheets>
  <definedNames>
    <definedName name="_xlnm._FilterDatabase" localSheetId="0" hidden="1">inventory_data!$A$1:$Q$200</definedName>
    <definedName name="Slicer_CATEGORY_OF_PRODUC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a="1"/>
  <c r="F5" i="2" s="1"/>
  <c r="P79" i="2" a="1"/>
  <c r="P79" i="2" s="1"/>
  <c r="T34" i="2" a="1"/>
  <c r="T34" i="2" s="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c r="R113" i="1"/>
  <c r="S113" i="1" s="1"/>
  <c r="R114" i="1"/>
  <c r="S114" i="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c r="R160" i="1"/>
  <c r="S160" i="1" s="1"/>
  <c r="R161" i="1"/>
  <c r="S161" i="1" s="1"/>
  <c r="R162" i="1"/>
  <c r="S162" i="1" s="1"/>
  <c r="R163" i="1"/>
  <c r="S163" i="1" s="1"/>
  <c r="R164" i="1"/>
  <c r="S164" i="1" s="1"/>
  <c r="R165" i="1"/>
  <c r="S165" i="1" s="1"/>
  <c r="R166" i="1"/>
  <c r="S166" i="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c r="R197" i="1"/>
  <c r="S197" i="1" s="1"/>
  <c r="R198" i="1"/>
  <c r="S198" i="1" s="1"/>
  <c r="R199" i="1"/>
  <c r="S199" i="1" s="1"/>
  <c r="R200" i="1"/>
  <c r="S200" i="1" s="1"/>
  <c r="R2" i="1"/>
  <c r="S2" i="1" s="1"/>
  <c r="N33" i="2" a="1"/>
  <c r="N33" i="2"/>
  <c r="B22" i="2" a="1"/>
  <c r="B22" i="2" s="1"/>
  <c r="N2" i="1"/>
  <c r="O2" i="1" s="1"/>
  <c r="I5" i="2" a="1"/>
  <c r="I5" i="2" s="1"/>
  <c r="N21" i="2" a="1"/>
  <c r="N21" i="2" s="1"/>
  <c r="P53" i="1"/>
  <c r="Q53" i="1"/>
  <c r="P2" i="1"/>
  <c r="Q2" i="1"/>
  <c r="P3" i="1"/>
  <c r="Q3" i="1" s="1"/>
  <c r="P4" i="1"/>
  <c r="Q4" i="1" s="1"/>
  <c r="P5" i="1"/>
  <c r="Q5" i="1" s="1"/>
  <c r="P6" i="1"/>
  <c r="Q6" i="1" s="1"/>
  <c r="P7" i="1"/>
  <c r="Q7" i="1"/>
  <c r="P8" i="1"/>
  <c r="Q8" i="1"/>
  <c r="P9" i="1"/>
  <c r="Q9" i="1"/>
  <c r="P10" i="1"/>
  <c r="Q10" i="1" s="1"/>
  <c r="P11" i="1"/>
  <c r="Q11" i="1" s="1"/>
  <c r="P12" i="1"/>
  <c r="Q12" i="1" s="1"/>
  <c r="P13" i="1"/>
  <c r="Q13" i="1"/>
  <c r="P14" i="1"/>
  <c r="Q14" i="1"/>
  <c r="P15" i="1"/>
  <c r="Q15" i="1"/>
  <c r="P16" i="1"/>
  <c r="Q16" i="1"/>
  <c r="P17" i="1"/>
  <c r="Q17" i="1" s="1"/>
  <c r="P18" i="1"/>
  <c r="Q18" i="1" s="1"/>
  <c r="P19" i="1"/>
  <c r="Q19" i="1"/>
  <c r="P20" i="1"/>
  <c r="Q20" i="1" s="1"/>
  <c r="P21" i="1"/>
  <c r="Q21" i="1"/>
  <c r="P22" i="1"/>
  <c r="Q22" i="1"/>
  <c r="P23" i="1"/>
  <c r="Q23" i="1" s="1"/>
  <c r="P24" i="1"/>
  <c r="Q24" i="1" s="1"/>
  <c r="P25" i="1"/>
  <c r="Q25" i="1"/>
  <c r="P26" i="1"/>
  <c r="Q26" i="1" s="1"/>
  <c r="P27" i="1"/>
  <c r="Q27" i="1" s="1"/>
  <c r="P28" i="1"/>
  <c r="Q28" i="1"/>
  <c r="P29" i="1"/>
  <c r="Q29" i="1" s="1"/>
  <c r="P30" i="1"/>
  <c r="Q30" i="1" s="1"/>
  <c r="P31" i="1"/>
  <c r="Q31" i="1"/>
  <c r="P32" i="1"/>
  <c r="Q32" i="1" s="1"/>
  <c r="P33" i="1"/>
  <c r="Q33" i="1" s="1"/>
  <c r="P34" i="1"/>
  <c r="Q34" i="1" s="1"/>
  <c r="P35" i="1"/>
  <c r="Q35" i="1" s="1"/>
  <c r="P36" i="1"/>
  <c r="Q36" i="1" s="1"/>
  <c r="P37" i="1"/>
  <c r="Q37" i="1"/>
  <c r="P38" i="1"/>
  <c r="Q38" i="1"/>
  <c r="P39" i="1"/>
  <c r="Q39" i="1" s="1"/>
  <c r="P40" i="1"/>
  <c r="Q40" i="1" s="1"/>
  <c r="P41" i="1"/>
  <c r="Q41" i="1" s="1"/>
  <c r="P42" i="1"/>
  <c r="Q42" i="1" s="1"/>
  <c r="P43" i="1"/>
  <c r="Q43" i="1"/>
  <c r="P44" i="1"/>
  <c r="Q44" i="1"/>
  <c r="P45" i="1"/>
  <c r="Q45" i="1"/>
  <c r="P46" i="1"/>
  <c r="Q46" i="1" s="1"/>
  <c r="P47" i="1"/>
  <c r="Q47" i="1" s="1"/>
  <c r="P48" i="1"/>
  <c r="Q48" i="1" s="1"/>
  <c r="P49" i="1"/>
  <c r="Q49" i="1"/>
  <c r="P50" i="1"/>
  <c r="Q50" i="1"/>
  <c r="P51" i="1"/>
  <c r="Q51" i="1"/>
  <c r="P52" i="1"/>
  <c r="Q52" i="1"/>
  <c r="P54" i="1"/>
  <c r="Q54" i="1" s="1"/>
  <c r="P55" i="1"/>
  <c r="Q55" i="1" s="1"/>
  <c r="P56" i="1"/>
  <c r="Q56" i="1"/>
  <c r="P57" i="1"/>
  <c r="Q57" i="1" s="1"/>
  <c r="P58" i="1"/>
  <c r="Q58" i="1"/>
  <c r="P59" i="1"/>
  <c r="Q59" i="1"/>
  <c r="P60" i="1"/>
  <c r="Q60" i="1" s="1"/>
  <c r="P61" i="1"/>
  <c r="Q61" i="1" s="1"/>
  <c r="P62" i="1"/>
  <c r="Q62" i="1"/>
  <c r="P63" i="1"/>
  <c r="Q63" i="1" s="1"/>
  <c r="P64" i="1"/>
  <c r="Q64" i="1" s="1"/>
  <c r="P65" i="1"/>
  <c r="Q65" i="1"/>
  <c r="P66" i="1"/>
  <c r="Q66" i="1" s="1"/>
  <c r="P67" i="1"/>
  <c r="Q67" i="1" s="1"/>
  <c r="P68" i="1"/>
  <c r="Q68" i="1"/>
  <c r="P69" i="1"/>
  <c r="Q69" i="1" s="1"/>
  <c r="P70" i="1"/>
  <c r="Q70" i="1" s="1"/>
  <c r="P71" i="1"/>
  <c r="Q71" i="1" s="1"/>
  <c r="P72" i="1"/>
  <c r="Q72" i="1" s="1"/>
  <c r="P73" i="1"/>
  <c r="Q73" i="1" s="1"/>
  <c r="P74" i="1"/>
  <c r="Q74" i="1"/>
  <c r="P75" i="1"/>
  <c r="Q75" i="1"/>
  <c r="P76" i="1"/>
  <c r="Q76" i="1" s="1"/>
  <c r="P77" i="1"/>
  <c r="Q77" i="1" s="1"/>
  <c r="P78" i="1"/>
  <c r="Q78" i="1" s="1"/>
  <c r="P79" i="1"/>
  <c r="Q79" i="1" s="1"/>
  <c r="P80" i="1"/>
  <c r="Q80" i="1"/>
  <c r="P81" i="1"/>
  <c r="Q81" i="1"/>
  <c r="P82" i="1"/>
  <c r="Q82" i="1"/>
  <c r="P83" i="1"/>
  <c r="Q83" i="1" s="1"/>
  <c r="P84" i="1"/>
  <c r="Q84" i="1" s="1"/>
  <c r="P85" i="1"/>
  <c r="Q85" i="1" s="1"/>
  <c r="P86" i="1"/>
  <c r="Q86" i="1"/>
  <c r="P87" i="1"/>
  <c r="Q87" i="1"/>
  <c r="P88" i="1"/>
  <c r="Q88" i="1"/>
  <c r="P89" i="1"/>
  <c r="Q89" i="1"/>
  <c r="P90" i="1"/>
  <c r="Q90" i="1" s="1"/>
  <c r="P91" i="1"/>
  <c r="Q91" i="1" s="1"/>
  <c r="P92" i="1"/>
  <c r="Q92" i="1"/>
  <c r="P93" i="1"/>
  <c r="Q93" i="1" s="1"/>
  <c r="P94" i="1"/>
  <c r="Q94" i="1"/>
  <c r="P95" i="1"/>
  <c r="Q95" i="1"/>
  <c r="P96" i="1"/>
  <c r="Q96" i="1" s="1"/>
  <c r="P97" i="1"/>
  <c r="Q97" i="1" s="1"/>
  <c r="P98" i="1"/>
  <c r="Q98" i="1"/>
  <c r="P99" i="1"/>
  <c r="Q99" i="1" s="1"/>
  <c r="P100" i="1"/>
  <c r="Q100" i="1" s="1"/>
  <c r="P101" i="1"/>
  <c r="Q101" i="1"/>
  <c r="P102" i="1"/>
  <c r="Q102" i="1" s="1"/>
  <c r="P103" i="1"/>
  <c r="Q103" i="1" s="1"/>
  <c r="P104" i="1"/>
  <c r="Q104" i="1"/>
  <c r="P105" i="1"/>
  <c r="Q105" i="1" s="1"/>
  <c r="P106" i="1"/>
  <c r="Q106" i="1" s="1"/>
  <c r="P107" i="1"/>
  <c r="Q107" i="1" s="1"/>
  <c r="P108" i="1"/>
  <c r="Q108" i="1" s="1"/>
  <c r="P109" i="1"/>
  <c r="Q109" i="1" s="1"/>
  <c r="P110" i="1"/>
  <c r="Q110" i="1"/>
  <c r="P111" i="1"/>
  <c r="Q111" i="1"/>
  <c r="P112" i="1"/>
  <c r="Q112" i="1" s="1"/>
  <c r="P113" i="1"/>
  <c r="Q113" i="1" s="1"/>
  <c r="P114" i="1"/>
  <c r="Q114" i="1" s="1"/>
  <c r="P115" i="1"/>
  <c r="Q115" i="1" s="1"/>
  <c r="P116" i="1"/>
  <c r="Q116" i="1"/>
  <c r="P117" i="1"/>
  <c r="Q117" i="1"/>
  <c r="P118" i="1"/>
  <c r="Q118" i="1"/>
  <c r="P119" i="1"/>
  <c r="Q119" i="1" s="1"/>
  <c r="P120" i="1"/>
  <c r="Q120" i="1" s="1"/>
  <c r="P121" i="1"/>
  <c r="Q121" i="1" s="1"/>
  <c r="P122" i="1"/>
  <c r="Q122" i="1"/>
  <c r="P123" i="1"/>
  <c r="Q123" i="1"/>
  <c r="P124" i="1"/>
  <c r="Q124" i="1"/>
  <c r="P125" i="1"/>
  <c r="Q125" i="1"/>
  <c r="P126" i="1"/>
  <c r="Q126" i="1" s="1"/>
  <c r="P127" i="1"/>
  <c r="Q127" i="1" s="1"/>
  <c r="P128" i="1"/>
  <c r="Q128" i="1"/>
  <c r="P129" i="1"/>
  <c r="Q129" i="1" s="1"/>
  <c r="P130" i="1"/>
  <c r="Q130" i="1"/>
  <c r="P131" i="1"/>
  <c r="Q131" i="1"/>
  <c r="P132" i="1"/>
  <c r="Q132" i="1" s="1"/>
  <c r="P133" i="1"/>
  <c r="Q133" i="1" s="1"/>
  <c r="P134" i="1"/>
  <c r="Q134" i="1"/>
  <c r="P135" i="1"/>
  <c r="Q135" i="1" s="1"/>
  <c r="P136" i="1"/>
  <c r="Q136" i="1" s="1"/>
  <c r="P137" i="1"/>
  <c r="Q137" i="1"/>
  <c r="P138" i="1"/>
  <c r="Q138" i="1" s="1"/>
  <c r="P139" i="1"/>
  <c r="Q139" i="1" s="1"/>
  <c r="P140" i="1"/>
  <c r="Q140" i="1"/>
  <c r="P141" i="1"/>
  <c r="Q141" i="1" s="1"/>
  <c r="P142" i="1"/>
  <c r="Q142" i="1" s="1"/>
  <c r="P143" i="1"/>
  <c r="Q143" i="1" s="1"/>
  <c r="P144" i="1"/>
  <c r="Q144" i="1" s="1"/>
  <c r="P145" i="1"/>
  <c r="Q145" i="1" s="1"/>
  <c r="P146" i="1"/>
  <c r="Q146" i="1"/>
  <c r="P147" i="1"/>
  <c r="Q147" i="1"/>
  <c r="P148" i="1"/>
  <c r="Q148" i="1" s="1"/>
  <c r="P149" i="1"/>
  <c r="Q149" i="1" s="1"/>
  <c r="P150" i="1"/>
  <c r="Q150" i="1" s="1"/>
  <c r="P151" i="1"/>
  <c r="Q151" i="1" s="1"/>
  <c r="P152" i="1"/>
  <c r="Q152" i="1"/>
  <c r="P153" i="1"/>
  <c r="Q153" i="1"/>
  <c r="P154" i="1"/>
  <c r="Q154" i="1"/>
  <c r="P155" i="1"/>
  <c r="Q155" i="1" s="1"/>
  <c r="P156" i="1"/>
  <c r="Q156" i="1" s="1"/>
  <c r="P157" i="1"/>
  <c r="Q157" i="1" s="1"/>
  <c r="P158" i="1"/>
  <c r="Q158" i="1"/>
  <c r="P159" i="1"/>
  <c r="Q159" i="1"/>
  <c r="P160" i="1"/>
  <c r="Q160" i="1"/>
  <c r="P161" i="1"/>
  <c r="Q161" i="1"/>
  <c r="P162" i="1"/>
  <c r="Q162" i="1" s="1"/>
  <c r="P163" i="1"/>
  <c r="Q163" i="1" s="1"/>
  <c r="P164" i="1"/>
  <c r="Q164" i="1"/>
  <c r="P165" i="1"/>
  <c r="Q165" i="1" s="1"/>
  <c r="P166" i="1"/>
  <c r="Q166" i="1"/>
  <c r="P167" i="1"/>
  <c r="Q167" i="1"/>
  <c r="P168" i="1"/>
  <c r="Q168" i="1" s="1"/>
  <c r="P169" i="1"/>
  <c r="Q169" i="1" s="1"/>
  <c r="P170" i="1"/>
  <c r="Q170" i="1"/>
  <c r="P171" i="1"/>
  <c r="Q171" i="1" s="1"/>
  <c r="P172" i="1"/>
  <c r="Q172" i="1" s="1"/>
  <c r="P173" i="1"/>
  <c r="Q173" i="1"/>
  <c r="P174" i="1"/>
  <c r="Q174" i="1" s="1"/>
  <c r="P175" i="1"/>
  <c r="Q175" i="1" s="1"/>
  <c r="P176" i="1"/>
  <c r="Q176" i="1"/>
  <c r="P177" i="1"/>
  <c r="Q177" i="1" s="1"/>
  <c r="P178" i="1"/>
  <c r="Q178" i="1" s="1"/>
  <c r="P179" i="1"/>
  <c r="Q179" i="1" s="1"/>
  <c r="P180" i="1"/>
  <c r="Q180" i="1" s="1"/>
  <c r="P181" i="1"/>
  <c r="Q181" i="1" s="1"/>
  <c r="P182" i="1"/>
  <c r="Q182" i="1"/>
  <c r="P183" i="1"/>
  <c r="Q183" i="1"/>
  <c r="P184" i="1"/>
  <c r="Q184" i="1" s="1"/>
  <c r="P185" i="1"/>
  <c r="Q185" i="1" s="1"/>
  <c r="P186" i="1"/>
  <c r="Q186" i="1" s="1"/>
  <c r="P187" i="1"/>
  <c r="Q187" i="1" s="1"/>
  <c r="P188" i="1"/>
  <c r="Q188" i="1"/>
  <c r="P189" i="1"/>
  <c r="Q189" i="1"/>
  <c r="P190" i="1"/>
  <c r="Q190" i="1"/>
  <c r="P191" i="1"/>
  <c r="Q191" i="1" s="1"/>
  <c r="P192" i="1"/>
  <c r="Q192" i="1" s="1"/>
  <c r="P193" i="1"/>
  <c r="Q193" i="1" s="1"/>
  <c r="P194" i="1"/>
  <c r="Q194" i="1"/>
  <c r="P195" i="1"/>
  <c r="Q195" i="1"/>
  <c r="P196" i="1"/>
  <c r="Q196" i="1"/>
  <c r="P197" i="1"/>
  <c r="Q197" i="1"/>
  <c r="P198" i="1"/>
  <c r="Q198" i="1" s="1"/>
  <c r="P199" i="1"/>
  <c r="Q199" i="1" s="1"/>
  <c r="P200" i="1"/>
  <c r="Q200" i="1"/>
  <c r="N3" i="1"/>
  <c r="O3" i="1" s="1"/>
  <c r="N4" i="1"/>
  <c r="O4" i="1" s="1"/>
  <c r="N5" i="1"/>
  <c r="O5" i="1" s="1"/>
  <c r="N6" i="1"/>
  <c r="O6" i="1" s="1"/>
  <c r="N7" i="1"/>
  <c r="O7" i="1" s="1"/>
  <c r="N8" i="1"/>
  <c r="O8" i="1" s="1"/>
  <c r="N9" i="1"/>
  <c r="O9" i="1" s="1"/>
  <c r="N10" i="1"/>
  <c r="O10" i="1" s="1"/>
  <c r="N11" i="1"/>
  <c r="O11" i="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<sst xmlns="http://schemas.openxmlformats.org/spreadsheetml/2006/main" count="1124" uniqueCount="300">
  <si>
    <t>UNIQUE_ID_OF_PRODUCT</t>
  </si>
  <si>
    <t>CATEGORY_OF_PRODUCT</t>
  </si>
  <si>
    <t>PRODUCT_NAME</t>
  </si>
  <si>
    <t>NO_OF_STOCK_UNIT_PURCHASED_BY_STORE</t>
  </si>
  <si>
    <t>NO_OF_STOCK_LEFT</t>
  </si>
  <si>
    <t>UNIT_COST_FROM_COMPANY_TO_STORE</t>
  </si>
  <si>
    <t>MRP</t>
  </si>
  <si>
    <t>DISCOUNT_GIVEN_BY_COMPANY_TO_STORE</t>
  </si>
  <si>
    <t>ACTUAL_PRICE_TO_CUSTOMER</t>
  </si>
  <si>
    <t>EXPIRY_DATE_OF_PRODUCT</t>
  </si>
  <si>
    <t>DATE_OF_STOCK_PURCHASED</t>
  </si>
  <si>
    <t>PURCHASED_COMPANY_NAME</t>
  </si>
  <si>
    <t>COMPANY_EMAIL_FOR_ORDERING</t>
  </si>
  <si>
    <t>DISCOUNT</t>
  </si>
  <si>
    <t>PRICE_AFTER_DISCOUNT</t>
  </si>
  <si>
    <t>SOLD_STOCK</t>
  </si>
  <si>
    <t>PROFIT</t>
  </si>
  <si>
    <t>DAYS LEFT</t>
  </si>
  <si>
    <t>EXPIRY STATUS</t>
  </si>
  <si>
    <t>P001</t>
  </si>
  <si>
    <t>Personal Care</t>
  </si>
  <si>
    <t>Dettol Handwash 200ml</t>
  </si>
  <si>
    <t>Detol</t>
  </si>
  <si>
    <t>23p314403@acet.ac.in</t>
  </si>
  <si>
    <t>P002</t>
  </si>
  <si>
    <t>Bakery</t>
  </si>
  <si>
    <t>Parle G 100g</t>
  </si>
  <si>
    <t>Britannia</t>
  </si>
  <si>
    <t>23p31a4442@acet.ac.in</t>
  </si>
  <si>
    <t>P003</t>
  </si>
  <si>
    <t>Snacks</t>
  </si>
  <si>
    <t>Lays Classic 50g</t>
  </si>
  <si>
    <t>ITC</t>
  </si>
  <si>
    <t>P004</t>
  </si>
  <si>
    <t>Dove Soap 75g</t>
  </si>
  <si>
    <t>Hindustan Unilever</t>
  </si>
  <si>
    <t>23p31a4403@acet.ac.in</t>
  </si>
  <si>
    <t>P005</t>
  </si>
  <si>
    <t>Grocery</t>
  </si>
  <si>
    <t>Maggie Noodles 70g</t>
  </si>
  <si>
    <t>Nestle</t>
  </si>
  <si>
    <t>P006</t>
  </si>
  <si>
    <t>P007</t>
  </si>
  <si>
    <t>Dairy</t>
  </si>
  <si>
    <t xml:space="preserve">Amul Butter </t>
  </si>
  <si>
    <t>Amul</t>
  </si>
  <si>
    <t>P008</t>
  </si>
  <si>
    <t>Sunfeast Biscuits 200g</t>
  </si>
  <si>
    <t>P009</t>
  </si>
  <si>
    <t>Household</t>
  </si>
  <si>
    <t>Godrej Air Freshener</t>
  </si>
  <si>
    <t>Godrej</t>
  </si>
  <si>
    <t>P010</t>
  </si>
  <si>
    <t>Fortune Oil 1L</t>
  </si>
  <si>
    <t>P011</t>
  </si>
  <si>
    <t>Beverages</t>
  </si>
  <si>
    <t>Coca Cola 1L</t>
  </si>
  <si>
    <t>Coca Cola India</t>
  </si>
  <si>
    <t>P012</t>
  </si>
  <si>
    <t>Mother Dairy Toned Milk Pouch</t>
  </si>
  <si>
    <t>P013</t>
  </si>
  <si>
    <r>
      <t>Amul Unsalted Butter 500g</t>
    </r>
    <r>
      <rPr>
        <sz val="11"/>
        <color theme="4" tint="-0.249977111117893"/>
        <rFont val="Aptos Narrow"/>
        <family val="2"/>
        <scheme val="minor"/>
      </rPr>
      <t xml:space="preserve"> – GCMMF</t>
    </r>
  </si>
  <si>
    <t>P014</t>
  </si>
  <si>
    <t>Frozen Foods</t>
  </si>
  <si>
    <r>
      <t>Mother Dairy Butter 500g</t>
    </r>
    <r>
      <rPr>
        <sz val="11"/>
        <color theme="4" tint="-0.249977111117893"/>
        <rFont val="Aptos Narrow"/>
        <family val="2"/>
        <scheme val="minor"/>
      </rPr>
      <t xml:space="preserve"> – Mother Dairy</t>
    </r>
  </si>
  <si>
    <t>23p31a42c0@acet.ac.in</t>
  </si>
  <si>
    <t>P015</t>
  </si>
  <si>
    <r>
      <t>Britannia Butter 500g</t>
    </r>
    <r>
      <rPr>
        <sz val="11"/>
        <color theme="4" tint="-0.249977111117893"/>
        <rFont val="Aptos Narrow"/>
        <family val="2"/>
        <scheme val="minor"/>
      </rPr>
      <t xml:space="preserve"> – Britannia Industries</t>
    </r>
  </si>
  <si>
    <t>Colgate</t>
  </si>
  <si>
    <t>P016</t>
  </si>
  <si>
    <r>
      <t>Gowardhan Table Butter 500g</t>
    </r>
    <r>
      <rPr>
        <sz val="11"/>
        <color theme="4" tint="-0.249977111117893"/>
        <rFont val="Aptos Narrow"/>
        <family val="2"/>
        <scheme val="minor"/>
      </rPr>
      <t xml:space="preserve"> – Parag Milk Foods</t>
    </r>
  </si>
  <si>
    <t>P017</t>
  </si>
  <si>
    <r>
      <t>Heritage Salted Butter 500g</t>
    </r>
    <r>
      <rPr>
        <sz val="11"/>
        <color theme="4" tint="-0.249977111117893"/>
        <rFont val="Aptos Narrow"/>
        <family val="2"/>
        <scheme val="minor"/>
      </rPr>
      <t xml:space="preserve"> – Heritage Foods</t>
    </r>
  </si>
  <si>
    <t>P018</t>
  </si>
  <si>
    <r>
      <t>Nandini Butter 500g</t>
    </r>
    <r>
      <rPr>
        <sz val="11"/>
        <color theme="4" tint="-0.249977111117893"/>
        <rFont val="Aptos Narrow"/>
        <family val="2"/>
        <scheme val="minor"/>
      </rPr>
      <t xml:space="preserve"> – Karnataka Milk Federation</t>
    </r>
  </si>
  <si>
    <t>P019</t>
  </si>
  <si>
    <t>Mother Dairy Classic Curd</t>
  </si>
  <si>
    <t>P020</t>
  </si>
  <si>
    <r>
      <t>Vijaya Butter 500g</t>
    </r>
    <r>
      <rPr>
        <sz val="11"/>
        <color theme="4" tint="-0.249977111117893"/>
        <rFont val="Aptos Narrow"/>
        <family val="2"/>
        <scheme val="minor"/>
      </rPr>
      <t xml:space="preserve"> – Andhra Pradesh Dairy Development</t>
    </r>
  </si>
  <si>
    <t>P021</t>
  </si>
  <si>
    <t>Patanjali Cow Ghee 500ml</t>
  </si>
  <si>
    <t>P022</t>
  </si>
  <si>
    <t>Mother Dairy Ultra Full Cream Milk</t>
  </si>
  <si>
    <t>P023</t>
  </si>
  <si>
    <t>P024</t>
  </si>
  <si>
    <t>Pepsi 500ml</t>
  </si>
  <si>
    <t>PepsiCo</t>
  </si>
  <si>
    <t>P025</t>
  </si>
  <si>
    <t>Lays Chilli 50g</t>
  </si>
  <si>
    <t>P026</t>
  </si>
  <si>
    <t>Britannia Bread 400g</t>
  </si>
  <si>
    <t>P027</t>
  </si>
  <si>
    <t>P028</t>
  </si>
  <si>
    <t>Pepsi 1L</t>
  </si>
  <si>
    <t>P029</t>
  </si>
  <si>
    <t>P030</t>
  </si>
  <si>
    <t>P031</t>
  </si>
  <si>
    <t>P032</t>
  </si>
  <si>
    <t>Tide Detergent 1kg</t>
  </si>
  <si>
    <t>P033</t>
  </si>
  <si>
    <t>P034</t>
  </si>
  <si>
    <t>P035</t>
  </si>
  <si>
    <t>P036</t>
  </si>
  <si>
    <t>Tide Detergent 500g</t>
  </si>
  <si>
    <t>P037</t>
  </si>
  <si>
    <t>P038</t>
  </si>
  <si>
    <t>Colgate Toothpaste 100g</t>
  </si>
  <si>
    <t>P039</t>
  </si>
  <si>
    <t>P040</t>
  </si>
  <si>
    <t>P041</t>
  </si>
  <si>
    <t>P042</t>
  </si>
  <si>
    <t>Fortune Oil 5L</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</si>
  <si>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</si>
  <si>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</si>
  <si>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</si>
  <si>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</si>
  <si>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</si>
  <si>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</si>
  <si>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</si>
  <si>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</si>
  <si>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</si>
  <si>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</si>
  <si>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</si>
  <si>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</si>
  <si>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</si>
  <si>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</si>
  <si>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</si>
  <si>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</si>
  <si>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</si>
  <si>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</si>
  <si>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</si>
  <si>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</si>
  <si>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</si>
  <si>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</si>
  <si>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Kwality Walls Ice Cream 500ml</t>
  </si>
  <si>
    <t>P065</t>
  </si>
  <si>
    <t>P066</t>
  </si>
  <si>
    <t>P067</t>
  </si>
  <si>
    <t>P068</t>
  </si>
  <si>
    <t>P069</t>
  </si>
  <si>
    <t>P070</t>
  </si>
  <si>
    <t>P071</t>
  </si>
  <si>
    <t>P072</t>
  </si>
  <si>
    <t>P073</t>
  </si>
  <si>
    <t>P074</t>
  </si>
  <si>
    <t>P075</t>
  </si>
  <si>
    <t>P076</t>
  </si>
  <si>
    <t>P077</t>
  </si>
  <si>
    <t>P078</t>
  </si>
  <si>
    <t>Nestle Milk 1L</t>
  </si>
  <si>
    <t>P079</t>
  </si>
  <si>
    <t>P080</t>
  </si>
  <si>
    <t>P081</t>
  </si>
  <si>
    <t>P082</t>
  </si>
  <si>
    <t>P083</t>
  </si>
  <si>
    <t>P084</t>
  </si>
  <si>
    <t>P085</t>
  </si>
  <si>
    <t>P086</t>
  </si>
  <si>
    <t>P087</t>
  </si>
  <si>
    <t>Amul Butter - Pasteurised</t>
  </si>
  <si>
    <t>P088</t>
  </si>
  <si>
    <t>P089</t>
  </si>
  <si>
    <t>P090</t>
  </si>
  <si>
    <t>P091</t>
  </si>
  <si>
    <t>P092</t>
  </si>
  <si>
    <t>P093</t>
  </si>
  <si>
    <t>P094</t>
  </si>
  <si>
    <t>P095</t>
  </si>
  <si>
    <t>P096</t>
  </si>
  <si>
    <t>Britannia Sandwich White Bread</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</si>
  <si>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</si>
  <si>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</si>
  <si>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</si>
  <si>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</si>
  <si>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</si>
  <si>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</si>
  <si>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</si>
  <si>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</si>
  <si>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</si>
  <si>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</si>
  <si>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</si>
  <si>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</si>
  <si>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</si>
  <si>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</si>
  <si>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</si>
  <si>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</si>
  <si>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</si>
  <si>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</si>
  <si>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</si>
  <si>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</si>
  <si>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</si>
  <si>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</si>
  <si>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</si>
  <si>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</si>
  <si>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</si>
  <si>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</si>
  <si>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</si>
  <si>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</si>
  <si>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</si>
  <si>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Maggie Noodles 250g</t>
  </si>
  <si>
    <t>P126</t>
  </si>
  <si>
    <t>P127</t>
  </si>
  <si>
    <t>P128</t>
  </si>
  <si>
    <t>Godrej Room Freshener</t>
  </si>
  <si>
    <t>P129</t>
  </si>
  <si>
    <t>P130</t>
  </si>
  <si>
    <t>P131</t>
  </si>
  <si>
    <t>P132</t>
  </si>
  <si>
    <t>P133</t>
  </si>
  <si>
    <t>P134</t>
  </si>
  <si>
    <t>P135</t>
  </si>
  <si>
    <t>P136</t>
  </si>
  <si>
    <t>P137</t>
  </si>
  <si>
    <t>P138</t>
  </si>
  <si>
    <t>P139</t>
  </si>
  <si>
    <t>P140</t>
  </si>
  <si>
    <t>P141</t>
  </si>
  <si>
    <t>P142</t>
  </si>
  <si>
    <t>P143</t>
  </si>
  <si>
    <t>P144</t>
  </si>
  <si>
    <t>P145</t>
  </si>
  <si>
    <t>P146</t>
  </si>
  <si>
    <t>P147</t>
  </si>
  <si>
    <t>iD Curd Pouch</t>
  </si>
  <si>
    <t>P148</t>
  </si>
  <si>
    <t>P149</t>
  </si>
  <si>
    <t>P150</t>
  </si>
  <si>
    <t>P151</t>
  </si>
  <si>
    <t>P152</t>
  </si>
  <si>
    <t>P153</t>
  </si>
  <si>
    <t>Gowardhan Classic Block Fresh Paneer</t>
  </si>
  <si>
    <t>P154</t>
  </si>
  <si>
    <t>P155</t>
  </si>
  <si>
    <t>P156</t>
  </si>
  <si>
    <t>P157</t>
  </si>
  <si>
    <t>Amul Processed Cheese Cubes</t>
  </si>
  <si>
    <t>P158</t>
  </si>
  <si>
    <t>P159</t>
  </si>
  <si>
    <t>P160</t>
  </si>
  <si>
    <t>P161</t>
  </si>
  <si>
    <t>P162</t>
  </si>
  <si>
    <t>P163</t>
  </si>
  <si>
    <t>P164</t>
  </si>
  <si>
    <t>P165</t>
  </si>
  <si>
    <t>P166</t>
  </si>
  <si>
    <t>P167</t>
  </si>
  <si>
    <t>P168</t>
  </si>
  <si>
    <t>P169</t>
  </si>
  <si>
    <t>P170</t>
  </si>
  <si>
    <t>P171</t>
  </si>
  <si>
    <t>P172</t>
  </si>
  <si>
    <t>P173</t>
  </si>
  <si>
    <t>P174</t>
  </si>
  <si>
    <t>P175</t>
  </si>
  <si>
    <t>P176</t>
  </si>
  <si>
    <t>P177</t>
  </si>
  <si>
    <t>Lays salt 50g</t>
  </si>
  <si>
    <t>P178</t>
  </si>
  <si>
    <t>P179</t>
  </si>
  <si>
    <t>P180</t>
  </si>
  <si>
    <t>P181</t>
  </si>
  <si>
    <t>P182</t>
  </si>
  <si>
    <t>P184</t>
  </si>
  <si>
    <t>P185</t>
  </si>
  <si>
    <t>P186</t>
  </si>
  <si>
    <t>P187</t>
  </si>
  <si>
    <t>Britannia Pav</t>
  </si>
  <si>
    <t>P188</t>
  </si>
  <si>
    <t>P189</t>
  </si>
  <si>
    <t>P190</t>
  </si>
  <si>
    <t>P191</t>
  </si>
  <si>
    <t>P192</t>
  </si>
  <si>
    <t>P193</t>
  </si>
  <si>
    <t>P194</t>
  </si>
  <si>
    <t>P195</t>
  </si>
  <si>
    <t>P196</t>
  </si>
  <si>
    <t>P197</t>
  </si>
  <si>
    <t>P198</t>
  </si>
  <si>
    <t>Lays Classic 150g</t>
  </si>
  <si>
    <t>P199</t>
  </si>
  <si>
    <t>Lays salt 150g</t>
  </si>
  <si>
    <t>P200</t>
  </si>
  <si>
    <t>Nestle A+ Nourish Dahi</t>
  </si>
  <si>
    <t>Sum of NO_OF_STOCK_LEFT</t>
  </si>
  <si>
    <t>Sum of NO_OF_STOCK_UNIT_PURCHASED_BY_STORE</t>
  </si>
  <si>
    <t>Sum of SOLD_STOCK</t>
  </si>
  <si>
    <t>Row Labels</t>
  </si>
  <si>
    <t>Sum of PROFIT</t>
  </si>
  <si>
    <t>Average of DISCOUNT</t>
  </si>
  <si>
    <t>Britannia Butter 500g – Britannia Industries</t>
  </si>
  <si>
    <t>Grand Total</t>
  </si>
  <si>
    <t>Near Expiry</t>
  </si>
  <si>
    <t>Count of EXPIRY STATUS</t>
  </si>
  <si>
    <t>Count of PRODUCT_NAME</t>
  </si>
  <si>
    <t>Sum of DISCOUNT</t>
  </si>
  <si>
    <t>Heritage Salted Butter 500g – Heritage Foods</t>
  </si>
  <si>
    <t>(Multiple Items)</t>
  </si>
  <si>
    <t xml:space="preserve"> </t>
  </si>
  <si>
    <t>Product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</si>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</sst>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font>
    <font>
      <sz val="11"/>
      <color theme="1" tint="4.9989318521683403E-2"/>
      <name val="Aptos Narrow"/>
      <family val="2"/>
      <scheme val="minor"/>
    </font>
    <font>
      <b/>
      <sz val="11"/>
      <color theme="1" tint="4.9989318521683403E-2"/>
      <name val="Aptos Narrow"/>
      <family val="2"/>
      <scheme val="minor"/>
    </font>
    <font>
      <sz val="11"/>
      <color theme="4" tint="-0.249977111117893"/>
      <name val="Aptos Narrow"/>
      <family val="2"/>
      <scheme val="minor"/>
    </font>
    <font>
      <b/>
      <sz val="11"/>
      <color theme="4" tint="-0.249977111117893"/>
      <name val="Aptos Narrow"/>
      <family val="2"/>
      <scheme val="minor"/>
    </font>
    <font>
      <sz val="11"/>
      <color theme="5"/>
      <name val="Aptos Narrow"/>
      <family val="2"/>
      <scheme val="minor"/>
    </font>
    <font>
      <sz val="14"/>
      <color theme="1"/>
      <name val="Aptos Narrow"/>
      <family val="2"/>
      <scheme val="minor"/>
    </font>
    <font>
      <sz val="14"/>
      <color theme="1"/>
      <name val="Copperplate Gothic Bold"/>
      <family val="5"/>
    </font>
    <font>
      <b/>
      <sz val="14"/>
      <color theme="1"/>
      <name val="Bookman Old Style"/>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0"/>
        <bgColor indexed="64"/>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
      <left/>
      <right/>
      <top style="thin">
        <color theme="4"/>
      </top>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9" fontId="1" fillId="0" borderId="0" applyFont="0" applyFill="0" applyBorder="0" applyAlignment="0" applyProtection="0"/>
  </cellStyleXfs>
  <cellXfs count="52">
    <xf numFmtId="0" fontId="0" fillId="0" borderId="0" xfId="0"/>
    <xf numFmtId="0" fontId="18" fillId="0" borderId="0" xfId="42"/>
    <xf numFmtId="0" fontId="19" fillId="0" borderId="0" xfId="0" applyFont="1"/>
    <xf numFmtId="1" fontId="0" fillId="0" borderId="0" xfId="0" applyNumberFormat="1"/>
    <xf numFmtId="0" fontId="20" fillId="0" borderId="0" xfId="0" applyFont="1"/>
    <xf numFmtId="0" fontId="22" fillId="33" borderId="0" xfId="0" applyFont="1" applyFill="1"/>
    <xf numFmtId="0" fontId="22" fillId="0" borderId="0" xfId="0" applyFont="1"/>
    <xf numFmtId="0" fontId="22" fillId="33" borderId="10" xfId="0" applyFont="1" applyFill="1" applyBorder="1"/>
    <xf numFmtId="9" fontId="0" fillId="0" borderId="0" xfId="0" applyNumberFormat="1"/>
    <xf numFmtId="0" fontId="22" fillId="33" borderId="11" xfId="0" applyFont="1" applyFill="1" applyBorder="1"/>
    <xf numFmtId="1" fontId="22" fillId="33" borderId="11" xfId="0" applyNumberFormat="1" applyFont="1" applyFill="1" applyBorder="1"/>
    <xf numFmtId="14" fontId="22" fillId="33" borderId="11" xfId="0" applyNumberFormat="1" applyFont="1" applyFill="1" applyBorder="1"/>
    <xf numFmtId="0" fontId="18" fillId="33" borderId="11" xfId="42" applyFill="1" applyBorder="1"/>
    <xf numFmtId="9" fontId="22" fillId="33" borderId="11" xfId="0" applyNumberFormat="1" applyFont="1" applyFill="1" applyBorder="1"/>
    <xf numFmtId="164" fontId="22" fillId="33" borderId="11" xfId="0" applyNumberFormat="1" applyFont="1" applyFill="1" applyBorder="1"/>
    <xf numFmtId="1" fontId="22" fillId="0" borderId="0" xfId="0" applyNumberFormat="1" applyFont="1"/>
    <xf numFmtId="14" fontId="22" fillId="0" borderId="0" xfId="0" applyNumberFormat="1" applyFont="1"/>
    <xf numFmtId="9" fontId="22" fillId="0" borderId="0" xfId="0" applyNumberFormat="1" applyFont="1"/>
    <xf numFmtId="164" fontId="22" fillId="0" borderId="0" xfId="0" applyNumberFormat="1" applyFont="1"/>
    <xf numFmtId="1" fontId="22" fillId="33" borderId="0" xfId="0" applyNumberFormat="1" applyFont="1" applyFill="1"/>
    <xf numFmtId="14" fontId="22" fillId="33" borderId="0" xfId="0" applyNumberFormat="1" applyFont="1" applyFill="1"/>
    <xf numFmtId="0" fontId="18" fillId="33" borderId="0" xfId="42" applyFill="1"/>
    <xf numFmtId="9" fontId="22" fillId="33" borderId="0" xfId="0" applyNumberFormat="1" applyFont="1" applyFill="1"/>
    <xf numFmtId="164" fontId="22" fillId="33" borderId="0" xfId="0" applyNumberFormat="1" applyFont="1" applyFill="1"/>
    <xf numFmtId="0" fontId="23" fillId="33" borderId="0" xfId="0" applyFont="1" applyFill="1"/>
    <xf numFmtId="0" fontId="23" fillId="0" borderId="0" xfId="0" applyFont="1"/>
    <xf numFmtId="1" fontId="22" fillId="33" borderId="10" xfId="0" applyNumberFormat="1" applyFont="1" applyFill="1" applyBorder="1"/>
    <xf numFmtId="14" fontId="22" fillId="33" borderId="10" xfId="0" applyNumberFormat="1" applyFont="1" applyFill="1" applyBorder="1"/>
    <xf numFmtId="0" fontId="18" fillId="33" borderId="10" xfId="42" applyFill="1" applyBorder="1"/>
    <xf numFmtId="9" fontId="22" fillId="33" borderId="10" xfId="0" applyNumberFormat="1" applyFont="1" applyFill="1" applyBorder="1"/>
    <xf numFmtId="164" fontId="22" fillId="33" borderId="10" xfId="0" applyNumberFormat="1" applyFont="1" applyFill="1" applyBorder="1"/>
    <xf numFmtId="0" fontId="0" fillId="0" borderId="0" xfId="0" pivotButton="1"/>
    <xf numFmtId="0" fontId="0" fillId="0" borderId="0" xfId="0" applyAlignment="1">
      <alignment horizontal="left"/>
    </xf>
    <xf numFmtId="0" fontId="24" fillId="34" borderId="0" xfId="0" applyFont="1" applyFill="1"/>
    <xf numFmtId="0" fontId="0" fillId="34" borderId="0" xfId="0" applyFill="1"/>
    <xf numFmtId="0" fontId="0" fillId="35" borderId="0" xfId="0" applyFill="1"/>
    <xf numFmtId="164" fontId="22" fillId="33" borderId="11" xfId="43" applyNumberFormat="1" applyFont="1" applyFill="1" applyBorder="1"/>
    <xf numFmtId="164" fontId="0" fillId="0" borderId="0" xfId="0" applyNumberFormat="1"/>
    <xf numFmtId="0" fontId="21" fillId="0" borderId="0" xfId="0" applyFont="1"/>
    <xf numFmtId="1" fontId="21" fillId="0" borderId="0" xfId="0" applyNumberFormat="1" applyFont="1"/>
    <xf numFmtId="9" fontId="21" fillId="0" borderId="0" xfId="0" applyNumberFormat="1" applyFont="1"/>
    <xf numFmtId="164" fontId="21" fillId="0" borderId="0" xfId="0" applyNumberFormat="1" applyFont="1"/>
    <xf numFmtId="0" fontId="0" fillId="36" borderId="0" xfId="0" applyFill="1"/>
    <xf numFmtId="9" fontId="0" fillId="0" borderId="0" xfId="0" applyNumberFormat="1" applyAlignment="1">
      <alignment horizontal="left"/>
    </xf>
    <xf numFmtId="0" fontId="16" fillId="33" borderId="12" xfId="0" applyFont="1" applyFill="1" applyBorder="1"/>
    <xf numFmtId="0" fontId="25" fillId="0" borderId="0" xfId="0" pivotButton="1" applyFont="1"/>
    <xf numFmtId="0" fontId="25" fillId="0" borderId="0" xfId="0" applyFont="1"/>
    <xf numFmtId="0" fontId="19" fillId="33" borderId="0" xfId="0" applyFont="1" applyFill="1"/>
    <xf numFmtId="0" fontId="19" fillId="33" borderId="10" xfId="0" applyFont="1" applyFill="1" applyBorder="1"/>
    <xf numFmtId="0" fontId="25" fillId="36" borderId="0" xfId="0" applyFont="1" applyFill="1"/>
    <xf numFmtId="9" fontId="26" fillId="0" borderId="0" xfId="0" applyNumberFormat="1" applyFont="1"/>
    <xf numFmtId="0" fontId="27"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4">
    <dxf>
      <font>
        <sz val="14"/>
      </font>
    </dxf>
    <dxf>
      <font>
        <sz val="14"/>
      </font>
    </dxf>
    <dxf>
      <font>
        <name val="Bookman Old Style"/>
        <family val="1"/>
        <scheme val="none"/>
      </font>
    </dxf>
    <dxf>
      <font>
        <name val="Bookman Old Style"/>
        <family val="1"/>
        <scheme val="none"/>
      </font>
    </dxf>
    <dxf>
      <font>
        <sz val="14"/>
      </font>
    </dxf>
    <dxf>
      <font>
        <sz val="14"/>
      </font>
    </dxf>
    <dxf>
      <font>
        <sz val="14"/>
      </font>
    </dxf>
    <dxf>
      <font>
        <sz val="14"/>
      </font>
    </dxf>
    <dxf>
      <font>
        <name val="Copperplate Gothic Bold"/>
        <family val="5"/>
        <scheme val="none"/>
      </font>
    </dxf>
    <dxf>
      <font>
        <b/>
      </font>
    </dxf>
    <dxf>
      <font>
        <sz val="14"/>
      </font>
    </dxf>
    <dxf>
      <font>
        <sz val="14"/>
      </font>
    </dxf>
    <dxf>
      <font>
        <name val="Bookman Old Style"/>
        <family val="1"/>
        <scheme val="none"/>
      </font>
    </dxf>
    <dxf>
      <font>
        <name val="Bookman Old Style"/>
        <family val="1"/>
        <scheme val="none"/>
      </font>
    </dxf>
    <dxf>
      <font>
        <sz val="14"/>
      </font>
    </dxf>
    <dxf>
      <font>
        <sz val="14"/>
      </font>
    </dxf>
    <dxf>
      <font>
        <sz val="14"/>
      </font>
    </dxf>
    <dxf>
      <font>
        <sz val="14"/>
      </font>
    </dxf>
    <dxf>
      <font>
        <name val="Copperplate Gothic Bold"/>
        <family val="5"/>
        <scheme val="none"/>
      </font>
    </dxf>
    <dxf>
      <font>
        <b/>
      </font>
    </dxf>
    <dxf>
      <font>
        <sz val="14"/>
      </font>
    </dxf>
    <dxf>
      <font>
        <sz val="14"/>
      </font>
    </dxf>
    <dxf>
      <font>
        <name val="Bookman Old Style"/>
        <family val="1"/>
        <scheme val="none"/>
      </font>
    </dxf>
    <dxf>
      <font>
        <name val="Bookman Old Style"/>
        <family val="1"/>
        <scheme val="none"/>
      </font>
    </dxf>
    <dxf>
      <font>
        <sz val="14"/>
      </font>
    </dxf>
    <dxf>
      <font>
        <sz val="14"/>
      </font>
    </dxf>
    <dxf>
      <font>
        <sz val="14"/>
      </font>
    </dxf>
    <dxf>
      <font>
        <sz val="14"/>
      </font>
    </dxf>
    <dxf>
      <font>
        <name val="Copperplate Gothic Bold"/>
        <family val="5"/>
        <scheme val="none"/>
      </font>
    </dxf>
    <dxf>
      <font>
        <b/>
      </font>
    </dxf>
    <dxf>
      <font>
        <b/>
      </font>
    </dxf>
    <dxf>
      <font>
        <name val="Copperplate Gothic Bold"/>
        <family val="5"/>
        <scheme val="none"/>
      </font>
    </dxf>
    <dxf>
      <font>
        <sz val="14"/>
      </font>
    </dxf>
    <dxf>
      <font>
        <sz val="14"/>
      </font>
    </dxf>
    <dxf>
      <font>
        <sz val="14"/>
      </font>
    </dxf>
    <dxf>
      <font>
        <sz val="14"/>
      </font>
    </dxf>
    <dxf>
      <font>
        <name val="Bookman Old Style"/>
        <family val="1"/>
        <scheme val="none"/>
      </font>
    </dxf>
    <dxf>
      <font>
        <name val="Bookman Old Style"/>
        <family val="1"/>
        <scheme val="none"/>
      </font>
    </dxf>
    <dxf>
      <font>
        <sz val="14"/>
      </font>
    </dxf>
    <dxf>
      <font>
        <sz val="14"/>
      </font>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5"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4" formatCode="0.0"/>
      <fill>
        <patternFill patternType="solid">
          <fgColor theme="4" tint="0.79998168889431442"/>
          <bgColor theme="4" tint="0.79998168889431442"/>
        </patternFill>
      </fill>
      <border diagonalUp="0" diagonalDown="0">
        <left/>
        <right/>
        <top style="thin">
          <color theme="4"/>
        </top>
        <bottom/>
        <vertical/>
        <horizontal/>
      </border>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4" formatCode="0.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3" formatCode="0%"/>
      <fill>
        <patternFill patternType="solid">
          <fgColor theme="4" tint="0.79998168889431442"/>
          <bgColor theme="4" tint="0.79998168889431442"/>
        </patternFill>
      </fill>
    </dxf>
    <dxf>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5"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65" formatCode="m/d/yyyy"/>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numFmt numFmtId="1" formatCode="0"/>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border outline="0">
        <top style="thin">
          <color theme="4"/>
        </top>
      </border>
    </dxf>
    <dxf>
      <font>
        <b val="0"/>
        <i val="0"/>
        <strike val="0"/>
        <condense val="0"/>
        <extend val="0"/>
        <outline val="0"/>
        <shadow val="0"/>
        <u val="none"/>
        <vertAlign val="baseline"/>
        <sz val="11"/>
        <color theme="4" tint="-0.249977111117893"/>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1" tint="4.9989318521683403E-2"/>
        <name val="Aptos Narrow"/>
        <family val="2"/>
        <scheme val="minor"/>
      </font>
    </dxf>
    <dxf>
      <fill>
        <patternFill>
          <bgColor theme="1"/>
        </patternFill>
      </fill>
    </dxf>
    <dxf>
      <border>
        <left style="thin">
          <color auto="1"/>
        </left>
        <right style="thin">
          <color auto="1"/>
        </right>
        <top style="thin">
          <color auto="1"/>
        </top>
        <bottom style="thin">
          <color auto="1"/>
        </bottom>
      </border>
    </dxf>
    <dxf>
      <fill>
        <patternFill>
          <bgColor theme="1"/>
        </patternFill>
      </fill>
    </dxf>
  </dxfs>
  <tableStyles count="4" defaultTableStyle="TableStyleMedium2" defaultPivotStyle="PivotStyleLight16">
    <tableStyle name="Slicer Style 1" pivot="0" table="0" count="0" xr9:uid="{B739FF59-C594-4BAE-8CD8-05BEC7393B95}"/>
    <tableStyle name="Slicer Style 2" pivot="0" table="0" count="1" xr9:uid="{503D64B1-0DA7-42B4-A130-77644607B57D}">
      <tableStyleElement type="wholeTable" dxfId="63"/>
    </tableStyle>
    <tableStyle name="Slicer Style 3" pivot="0" table="0" count="1" xr9:uid="{FFA7A0BB-BAC5-489F-852F-31E311C5218C}">
      <tableStyleElement type="wholeTable" dxfId="62"/>
    </tableStyle>
    <tableStyle name="Slicer Style 4" pivot="0" table="0" count="1" xr9:uid="{2A058265-1793-4285-A316-9D44C37B92D7}">
      <tableStyleElement type="wholeTable" dxfId="61"/>
    </tableStyle>
  </tableStyles>
  <colors>
    <mruColors>
      <color rgb="FFFF7B00"/>
      <color rgb="FF5AA661"/>
      <color rgb="FFFAB172"/>
      <color rgb="FFFF7D22"/>
      <color rgb="FFE3A781"/>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pivot!$U$34</c:f>
              <c:strCache>
                <c:ptCount val="1"/>
                <c:pt idx="0">
                  <c:v>Count of EXPIRY STATUS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8EE-4F52-AEAA-01A2D06CD6DA}"/>
              </c:ext>
            </c:extLst>
          </c:dPt>
          <c:dPt>
            <c:idx val="1"/>
            <c:bubble3D val="0"/>
            <c:spPr>
              <a:solidFill>
                <a:schemeClr val="accent2"/>
              </a:solidFill>
              <a:ln w="19050">
                <a:noFill/>
              </a:ln>
              <a:effectLst/>
            </c:spPr>
            <c:extLst>
              <c:ext xmlns:c16="http://schemas.microsoft.com/office/drawing/2014/chart" uri="{C3380CC4-5D6E-409C-BE32-E72D297353CC}">
                <c16:uniqueId val="{00000003-98EE-4F52-AEAA-01A2D06CD6DA}"/>
              </c:ext>
            </c:extLst>
          </c:dPt>
          <c:dPt>
            <c:idx val="2"/>
            <c:bubble3D val="0"/>
            <c:spPr>
              <a:solidFill>
                <a:schemeClr val="accent3"/>
              </a:solidFill>
              <a:ln w="19050">
                <a:noFill/>
              </a:ln>
              <a:effectLst/>
            </c:spPr>
            <c:extLst>
              <c:ext xmlns:c16="http://schemas.microsoft.com/office/drawing/2014/chart" uri="{C3380CC4-5D6E-409C-BE32-E72D297353CC}">
                <c16:uniqueId val="{00000005-98EE-4F52-AEAA-01A2D06CD6DA}"/>
              </c:ext>
            </c:extLst>
          </c:dPt>
          <c:dPt>
            <c:idx val="3"/>
            <c:bubble3D val="0"/>
            <c:spPr>
              <a:solidFill>
                <a:schemeClr val="accent4"/>
              </a:solidFill>
              <a:ln w="19050">
                <a:noFill/>
              </a:ln>
              <a:effectLst/>
            </c:spPr>
            <c:extLst>
              <c:ext xmlns:c16="http://schemas.microsoft.com/office/drawing/2014/chart" uri="{C3380CC4-5D6E-409C-BE32-E72D297353CC}">
                <c16:uniqueId val="{00000007-98EE-4F52-AEAA-01A2D06CD6DA}"/>
              </c:ext>
            </c:extLst>
          </c:dPt>
          <c:dPt>
            <c:idx val="4"/>
            <c:bubble3D val="0"/>
            <c:spPr>
              <a:solidFill>
                <a:schemeClr val="accent5"/>
              </a:solidFill>
              <a:ln w="19050">
                <a:noFill/>
              </a:ln>
              <a:effectLst/>
            </c:spPr>
            <c:extLst>
              <c:ext xmlns:c16="http://schemas.microsoft.com/office/drawing/2014/chart" uri="{C3380CC4-5D6E-409C-BE32-E72D297353CC}">
                <c16:uniqueId val="{00000009-98EE-4F52-AEAA-01A2D06CD6DA}"/>
              </c:ext>
            </c:extLst>
          </c:dPt>
          <c:dPt>
            <c:idx val="5"/>
            <c:bubble3D val="0"/>
            <c:spPr>
              <a:solidFill>
                <a:schemeClr val="accent6"/>
              </a:solidFill>
              <a:ln w="19050">
                <a:noFill/>
              </a:ln>
              <a:effectLst/>
            </c:spPr>
            <c:extLst>
              <c:ext xmlns:c16="http://schemas.microsoft.com/office/drawing/2014/chart" uri="{C3380CC4-5D6E-409C-BE32-E72D297353CC}">
                <c16:uniqueId val="{0000000B-98EE-4F52-AEAA-01A2D06CD6D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98EE-4F52-AEAA-01A2D06CD6D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8EE-4F52-AEAA-01A2D06CD6D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98EE-4F52-AEAA-01A2D06CD6DA}"/>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98EE-4F52-AEAA-01A2D06CD6DA}"/>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98EE-4F52-AEAA-01A2D06CD6DA}"/>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98EE-4F52-AEAA-01A2D06CD6DA}"/>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98EE-4F52-AEAA-01A2D06CD6DA}"/>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98EE-4F52-AEAA-01A2D06CD6DA}"/>
              </c:ext>
            </c:extLst>
          </c:dPt>
          <c:cat>
            <c:strRef>
              <c:f>pivot!$T$35:$T$48</c:f>
              <c:strCache>
                <c:ptCount val="14"/>
                <c:pt idx="0">
                  <c:v>Amul Butter - Pasteurised</c:v>
                </c:pt>
                <c:pt idx="1">
                  <c:v>Britannia Bread 400g</c:v>
                </c:pt>
                <c:pt idx="2">
                  <c:v>Britannia Pav</c:v>
                </c:pt>
                <c:pt idx="3">
                  <c:v>Colgate Toothpaste 100g</c:v>
                </c:pt>
                <c:pt idx="4">
                  <c:v>Dove Soap 75g</c:v>
                </c:pt>
                <c:pt idx="5">
                  <c:v>Fortune Oil 1L</c:v>
                </c:pt>
                <c:pt idx="6">
                  <c:v>Kwality Walls Ice Cream 500ml</c:v>
                </c:pt>
                <c:pt idx="7">
                  <c:v>Maggie Noodles 70g</c:v>
                </c:pt>
                <c:pt idx="8">
                  <c:v>Mother Dairy Toned Milk Pouch</c:v>
                </c:pt>
                <c:pt idx="9">
                  <c:v>Nestle Milk 1L</c:v>
                </c:pt>
                <c:pt idx="10">
                  <c:v>Parle G 100g</c:v>
                </c:pt>
                <c:pt idx="11">
                  <c:v>Pepsi 500ml</c:v>
                </c:pt>
                <c:pt idx="12">
                  <c:v>Sunfeast Biscuits 200g</c:v>
                </c:pt>
                <c:pt idx="13">
                  <c:v>Tide Detergent 1kg</c:v>
                </c:pt>
              </c:strCache>
            </c:strRef>
          </c:cat>
          <c:val>
            <c:numRef>
              <c:f>pivot!$U$35:$U$48</c:f>
              <c:numCache>
                <c:formatCode>General</c:formatCode>
                <c:ptCount val="14"/>
                <c:pt idx="0">
                  <c:v>1</c:v>
                </c:pt>
                <c:pt idx="1">
                  <c:v>2</c:v>
                </c:pt>
                <c:pt idx="2">
                  <c:v>1</c:v>
                </c:pt>
                <c:pt idx="3">
                  <c:v>2</c:v>
                </c:pt>
                <c:pt idx="4">
                  <c:v>1</c:v>
                </c:pt>
                <c:pt idx="5">
                  <c:v>2</c:v>
                </c:pt>
                <c:pt idx="6">
                  <c:v>1</c:v>
                </c:pt>
                <c:pt idx="7">
                  <c:v>1</c:v>
                </c:pt>
                <c:pt idx="8">
                  <c:v>1</c:v>
                </c:pt>
                <c:pt idx="9">
                  <c:v>5</c:v>
                </c:pt>
                <c:pt idx="10">
                  <c:v>2</c:v>
                </c:pt>
                <c:pt idx="11">
                  <c:v>4</c:v>
                </c:pt>
                <c:pt idx="12">
                  <c:v>1</c:v>
                </c:pt>
                <c:pt idx="13">
                  <c:v>1</c:v>
                </c:pt>
              </c:numCache>
            </c:numRef>
          </c:val>
          <c:extLst>
            <c:ext xmlns:c16="http://schemas.microsoft.com/office/drawing/2014/chart" uri="{C3380CC4-5D6E-409C-BE32-E72D297353CC}">
              <c16:uniqueId val="{0000001C-98EE-4F52-AEAA-01A2D06CD6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192112507709135"/>
          <c:y val="0"/>
          <c:w val="0.312783976492229"/>
          <c:h val="0.91001929698855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pivot!$F$5</c:f>
              <c:strCache>
                <c:ptCount val="1"/>
                <c:pt idx="0">
                  <c:v>Sum of NO_OF_STOCK_UNIT_PURCHASED_BY_STORE</c:v>
                </c:pt>
              </c:strCache>
            </c:strRef>
          </c:tx>
          <c:spPr>
            <a:solidFill>
              <a:schemeClr val="bg1"/>
            </a:solidFill>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ACA0-A248-AB9C-3AB0B1C1EB2C}"/>
              </c:ext>
            </c:extLst>
          </c:dPt>
          <c:val>
            <c:numRef>
              <c:f>pivot!$F$6</c:f>
              <c:numCache>
                <c:formatCode>General</c:formatCode>
                <c:ptCount val="1"/>
                <c:pt idx="0">
                  <c:v>54727</c:v>
                </c:pt>
              </c:numCache>
            </c:numRef>
          </c:val>
          <c:extLst>
            <c:ext xmlns:c16="http://schemas.microsoft.com/office/drawing/2014/chart" uri="{C3380CC4-5D6E-409C-BE32-E72D297353CC}">
              <c16:uniqueId val="{00000002-ACA0-A248-AB9C-3AB0B1C1EB2C}"/>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2">
                <a:lumMod val="20000"/>
                <a:lumOff val="80000"/>
              </a:schemeClr>
            </a:solidFill>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4683-E44D-BC04-6032D69CAFC4}"/>
              </c:ext>
            </c:extLst>
          </c:dPt>
          <c:dPt>
            <c:idx val="1"/>
            <c:bubble3D val="0"/>
            <c:spPr>
              <a:solidFill>
                <a:schemeClr val="bg1">
                  <a:lumMod val="65000"/>
                </a:schemeClr>
              </a:solidFill>
              <a:ln w="19050">
                <a:noFill/>
              </a:ln>
              <a:effectLst>
                <a:innerShdw blurRad="114300">
                  <a:prstClr val="black"/>
                </a:innerShdw>
              </a:effectLst>
            </c:spPr>
            <c:extLst>
              <c:ext xmlns:c16="http://schemas.microsoft.com/office/drawing/2014/chart" uri="{C3380CC4-5D6E-409C-BE32-E72D297353CC}">
                <c16:uniqueId val="{00000003-4683-E44D-BC04-6032D69CAFC4}"/>
              </c:ext>
            </c:extLst>
          </c:dPt>
          <c:cat>
            <c:strRef>
              <c:f>pivot!$F$5:$G$5</c:f>
              <c:strCache>
                <c:ptCount val="2"/>
                <c:pt idx="0">
                  <c:v>Sum of NO_OF_STOCK_UNIT_PURCHASED_BY_STORE</c:v>
                </c:pt>
                <c:pt idx="1">
                  <c:v>Sum of SOLD_STOCK</c:v>
                </c:pt>
              </c:strCache>
            </c:strRef>
          </c:cat>
          <c:val>
            <c:numRef>
              <c:f>pivot!$F$6:$G$6</c:f>
              <c:numCache>
                <c:formatCode>General</c:formatCode>
                <c:ptCount val="2"/>
                <c:pt idx="0">
                  <c:v>54727</c:v>
                </c:pt>
                <c:pt idx="1">
                  <c:v>28509</c:v>
                </c:pt>
              </c:numCache>
            </c:numRef>
          </c:val>
          <c:extLst>
            <c:ext xmlns:c16="http://schemas.microsoft.com/office/drawing/2014/chart" uri="{C3380CC4-5D6E-409C-BE32-E72D297353CC}">
              <c16:uniqueId val="{00000004-4683-E44D-BC04-6032D69CAFC4}"/>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innerShdw blurRad="114300">
                <a:prstClr val="black"/>
              </a:innerShdw>
            </a:effectLst>
          </c:spPr>
          <c:dPt>
            <c:idx val="0"/>
            <c:bubble3D val="0"/>
            <c:spPr>
              <a:solidFill>
                <a:schemeClr val="bg1"/>
              </a:solidFill>
              <a:ln w="19050">
                <a:noFill/>
              </a:ln>
              <a:effectLst>
                <a:innerShdw blurRad="114300">
                  <a:prstClr val="black"/>
                </a:innerShdw>
              </a:effectLst>
            </c:spPr>
            <c:extLst>
              <c:ext xmlns:c16="http://schemas.microsoft.com/office/drawing/2014/chart" uri="{C3380CC4-5D6E-409C-BE32-E72D297353CC}">
                <c16:uniqueId val="{00000001-6DEF-B74E-AE09-D995814E39E8}"/>
              </c:ext>
            </c:extLst>
          </c:dPt>
          <c:dPt>
            <c:idx val="1"/>
            <c:bubble3D val="0"/>
            <c:spPr>
              <a:solidFill>
                <a:schemeClr val="bg1">
                  <a:lumMod val="65000"/>
                </a:schemeClr>
              </a:solidFill>
              <a:ln w="19050">
                <a:noFill/>
              </a:ln>
              <a:effectLst>
                <a:innerShdw blurRad="114300">
                  <a:prstClr val="black"/>
                </a:innerShdw>
              </a:effectLst>
            </c:spPr>
            <c:extLst>
              <c:ext xmlns:c16="http://schemas.microsoft.com/office/drawing/2014/chart" uri="{C3380CC4-5D6E-409C-BE32-E72D297353CC}">
                <c16:uniqueId val="{00000003-6DEF-B74E-AE09-D995814E39E8}"/>
              </c:ext>
            </c:extLst>
          </c:dPt>
          <c:cat>
            <c:strRef>
              <c:f>pivot!$I$5:$J$5</c:f>
              <c:strCache>
                <c:ptCount val="2"/>
                <c:pt idx="0">
                  <c:v>Sum of NO_OF_STOCK_LEFT</c:v>
                </c:pt>
                <c:pt idx="1">
                  <c:v>Sum of NO_OF_STOCK_UNIT_PURCHASED_BY_STORE</c:v>
                </c:pt>
              </c:strCache>
            </c:strRef>
          </c:cat>
          <c:val>
            <c:numRef>
              <c:f>pivot!$I$6:$J$6</c:f>
              <c:numCache>
                <c:formatCode>General</c:formatCode>
                <c:ptCount val="2"/>
                <c:pt idx="0">
                  <c:v>26218</c:v>
                </c:pt>
                <c:pt idx="1">
                  <c:v>54727</c:v>
                </c:pt>
              </c:numCache>
            </c:numRef>
          </c:val>
          <c:extLst>
            <c:ext xmlns:c16="http://schemas.microsoft.com/office/drawing/2014/chart" uri="{C3380CC4-5D6E-409C-BE32-E72D297353CC}">
              <c16:uniqueId val="{00000004-6DEF-B74E-AE09-D995814E39E8}"/>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dLbls>
          <c:showLegendKey val="0"/>
          <c:showVal val="0"/>
          <c:showCatName val="0"/>
          <c:showSerName val="0"/>
          <c:showPercent val="0"/>
          <c:showBubbleSize val="0"/>
        </c:dLbls>
        <c:gapWidth val="182"/>
        <c:axId val="1818930768"/>
        <c:axId val="1614806608"/>
      </c:barChart>
      <c:catAx>
        <c:axId val="181893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614806608"/>
        <c:crosses val="autoZero"/>
        <c:auto val="1"/>
        <c:lblAlgn val="ctr"/>
        <c:lblOffset val="100"/>
        <c:noMultiLvlLbl val="0"/>
      </c:catAx>
      <c:valAx>
        <c:axId val="161480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89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pivot!$U$34</c:f>
              <c:strCache>
                <c:ptCount val="1"/>
                <c:pt idx="0">
                  <c:v>Count of EXPIRY STATUS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61A-4604-8D90-89C141E4096F}"/>
              </c:ext>
            </c:extLst>
          </c:dPt>
          <c:dPt>
            <c:idx val="1"/>
            <c:bubble3D val="0"/>
            <c:spPr>
              <a:solidFill>
                <a:schemeClr val="accent2"/>
              </a:solidFill>
              <a:ln w="19050">
                <a:noFill/>
              </a:ln>
              <a:effectLst/>
            </c:spPr>
            <c:extLst>
              <c:ext xmlns:c16="http://schemas.microsoft.com/office/drawing/2014/chart" uri="{C3380CC4-5D6E-409C-BE32-E72D297353CC}">
                <c16:uniqueId val="{00000003-F61A-4604-8D90-89C141E4096F}"/>
              </c:ext>
            </c:extLst>
          </c:dPt>
          <c:dPt>
            <c:idx val="2"/>
            <c:bubble3D val="0"/>
            <c:spPr>
              <a:solidFill>
                <a:schemeClr val="accent3"/>
              </a:solidFill>
              <a:ln w="19050">
                <a:noFill/>
              </a:ln>
              <a:effectLst/>
            </c:spPr>
            <c:extLst>
              <c:ext xmlns:c16="http://schemas.microsoft.com/office/drawing/2014/chart" uri="{C3380CC4-5D6E-409C-BE32-E72D297353CC}">
                <c16:uniqueId val="{00000005-F61A-4604-8D90-89C141E4096F}"/>
              </c:ext>
            </c:extLst>
          </c:dPt>
          <c:dPt>
            <c:idx val="3"/>
            <c:bubble3D val="0"/>
            <c:spPr>
              <a:solidFill>
                <a:schemeClr val="accent4"/>
              </a:solidFill>
              <a:ln w="19050">
                <a:noFill/>
              </a:ln>
              <a:effectLst/>
            </c:spPr>
            <c:extLst>
              <c:ext xmlns:c16="http://schemas.microsoft.com/office/drawing/2014/chart" uri="{C3380CC4-5D6E-409C-BE32-E72D297353CC}">
                <c16:uniqueId val="{00000007-F61A-4604-8D90-89C141E4096F}"/>
              </c:ext>
            </c:extLst>
          </c:dPt>
          <c:dPt>
            <c:idx val="4"/>
            <c:bubble3D val="0"/>
            <c:spPr>
              <a:solidFill>
                <a:schemeClr val="accent5"/>
              </a:solidFill>
              <a:ln w="19050">
                <a:noFill/>
              </a:ln>
              <a:effectLst/>
            </c:spPr>
            <c:extLst>
              <c:ext xmlns:c16="http://schemas.microsoft.com/office/drawing/2014/chart" uri="{C3380CC4-5D6E-409C-BE32-E72D297353CC}">
                <c16:uniqueId val="{00000009-F61A-4604-8D90-89C141E4096F}"/>
              </c:ext>
            </c:extLst>
          </c:dPt>
          <c:dPt>
            <c:idx val="5"/>
            <c:bubble3D val="0"/>
            <c:spPr>
              <a:solidFill>
                <a:schemeClr val="accent6"/>
              </a:solidFill>
              <a:ln w="19050">
                <a:noFill/>
              </a:ln>
              <a:effectLst/>
            </c:spPr>
            <c:extLst>
              <c:ext xmlns:c16="http://schemas.microsoft.com/office/drawing/2014/chart" uri="{C3380CC4-5D6E-409C-BE32-E72D297353CC}">
                <c16:uniqueId val="{0000000B-F61A-4604-8D90-89C141E4096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61A-4604-8D90-89C141E4096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F61A-4604-8D90-89C141E4096F}"/>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F61A-4604-8D90-89C141E4096F}"/>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F61A-4604-8D90-89C141E4096F}"/>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F61A-4604-8D90-89C141E4096F}"/>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F61A-4604-8D90-89C141E4096F}"/>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F61A-4604-8D90-89C141E4096F}"/>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F61A-4604-8D90-89C141E4096F}"/>
              </c:ext>
            </c:extLst>
          </c:dPt>
          <c:cat>
            <c:strRef>
              <c:f>pivot!$T$35:$T$48</c:f>
              <c:strCache>
                <c:ptCount val="14"/>
                <c:pt idx="0">
                  <c:v>Amul Butter - Pasteurised</c:v>
                </c:pt>
                <c:pt idx="1">
                  <c:v>Britannia Bread 400g</c:v>
                </c:pt>
                <c:pt idx="2">
                  <c:v>Britannia Pav</c:v>
                </c:pt>
                <c:pt idx="3">
                  <c:v>Colgate Toothpaste 100g</c:v>
                </c:pt>
                <c:pt idx="4">
                  <c:v>Dove Soap 75g</c:v>
                </c:pt>
                <c:pt idx="5">
                  <c:v>Fortune Oil 1L</c:v>
                </c:pt>
                <c:pt idx="6">
                  <c:v>Kwality Walls Ice Cream 500ml</c:v>
                </c:pt>
                <c:pt idx="7">
                  <c:v>Maggie Noodles 70g</c:v>
                </c:pt>
                <c:pt idx="8">
                  <c:v>Mother Dairy Toned Milk Pouch</c:v>
                </c:pt>
                <c:pt idx="9">
                  <c:v>Nestle Milk 1L</c:v>
                </c:pt>
                <c:pt idx="10">
                  <c:v>Parle G 100g</c:v>
                </c:pt>
                <c:pt idx="11">
                  <c:v>Pepsi 500ml</c:v>
                </c:pt>
                <c:pt idx="12">
                  <c:v>Sunfeast Biscuits 200g</c:v>
                </c:pt>
                <c:pt idx="13">
                  <c:v>Tide Detergent 1kg</c:v>
                </c:pt>
              </c:strCache>
            </c:strRef>
          </c:cat>
          <c:val>
            <c:numRef>
              <c:f>pivot!$U$35:$U$48</c:f>
              <c:numCache>
                <c:formatCode>General</c:formatCode>
                <c:ptCount val="14"/>
                <c:pt idx="0">
                  <c:v>1</c:v>
                </c:pt>
                <c:pt idx="1">
                  <c:v>2</c:v>
                </c:pt>
                <c:pt idx="2">
                  <c:v>1</c:v>
                </c:pt>
                <c:pt idx="3">
                  <c:v>2</c:v>
                </c:pt>
                <c:pt idx="4">
                  <c:v>1</c:v>
                </c:pt>
                <c:pt idx="5">
                  <c:v>2</c:v>
                </c:pt>
                <c:pt idx="6">
                  <c:v>1</c:v>
                </c:pt>
                <c:pt idx="7">
                  <c:v>1</c:v>
                </c:pt>
                <c:pt idx="8">
                  <c:v>1</c:v>
                </c:pt>
                <c:pt idx="9">
                  <c:v>5</c:v>
                </c:pt>
                <c:pt idx="10">
                  <c:v>2</c:v>
                </c:pt>
                <c:pt idx="11">
                  <c:v>4</c:v>
                </c:pt>
                <c:pt idx="12">
                  <c:v>1</c:v>
                </c:pt>
                <c:pt idx="13">
                  <c:v>1</c:v>
                </c:pt>
              </c:numCache>
            </c:numRef>
          </c:val>
          <c:extLst>
            <c:ext xmlns:c16="http://schemas.microsoft.com/office/drawing/2014/chart" uri="{C3380CC4-5D6E-409C-BE32-E72D297353CC}">
              <c16:uniqueId val="{0000001C-F61A-4604-8D90-89C141E4096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192112507709135"/>
          <c:y val="0"/>
          <c:w val="0.312783976492229"/>
          <c:h val="0.910019296988553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FF7B00"/>
            </a:solidFill>
            <a:ln>
              <a:noFill/>
            </a:ln>
            <a:effectLst/>
            <a:sp3d/>
          </c:spPr>
          <c:invertIfNegative val="0"/>
          <c:cat>
            <c:strRef>
              <c:f>pivot!$N$22:$N$29</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pivot!$O$22:$O$29</c:f>
              <c:numCache>
                <c:formatCode>General</c:formatCode>
                <c:ptCount val="8"/>
                <c:pt idx="0">
                  <c:v>3407</c:v>
                </c:pt>
                <c:pt idx="1">
                  <c:v>2664</c:v>
                </c:pt>
                <c:pt idx="2">
                  <c:v>2264</c:v>
                </c:pt>
                <c:pt idx="3">
                  <c:v>2586</c:v>
                </c:pt>
                <c:pt idx="4">
                  <c:v>4241</c:v>
                </c:pt>
                <c:pt idx="5">
                  <c:v>4659</c:v>
                </c:pt>
                <c:pt idx="6">
                  <c:v>5137</c:v>
                </c:pt>
                <c:pt idx="7">
                  <c:v>1260</c:v>
                </c:pt>
              </c:numCache>
            </c:numRef>
          </c:val>
          <c:extLst>
            <c:ext xmlns:c16="http://schemas.microsoft.com/office/drawing/2014/chart" uri="{C3380CC4-5D6E-409C-BE32-E72D297353CC}">
              <c16:uniqueId val="{00000000-4C3E-8D48-A9BA-47DF6ED50FDF}"/>
            </c:ext>
          </c:extLst>
        </c:ser>
        <c:dLbls>
          <c:showLegendKey val="0"/>
          <c:showVal val="0"/>
          <c:showCatName val="0"/>
          <c:showSerName val="0"/>
          <c:showPercent val="0"/>
          <c:showBubbleSize val="0"/>
        </c:dLbls>
        <c:gapWidth val="150"/>
        <c:shape val="box"/>
        <c:axId val="1614509872"/>
        <c:axId val="1236383631"/>
        <c:axId val="0"/>
      </c:bar3DChart>
      <c:catAx>
        <c:axId val="161450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383631"/>
        <c:crosses val="autoZero"/>
        <c:auto val="1"/>
        <c:lblAlgn val="ctr"/>
        <c:lblOffset val="100"/>
        <c:noMultiLvlLbl val="0"/>
      </c:catAx>
      <c:valAx>
        <c:axId val="123638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50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rgbClr val="FF7B00"/>
            </a:solidFill>
            <a:ln>
              <a:noFill/>
            </a:ln>
            <a:effectLst/>
            <a:sp3d/>
          </c:spPr>
          <c:invertIfNegative val="0"/>
          <c:cat>
            <c:strRef>
              <c:f>pivot!$N$34:$N$41</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pivot!$O$34:$O$41</c:f>
              <c:numCache>
                <c:formatCode>General</c:formatCode>
                <c:ptCount val="8"/>
                <c:pt idx="0">
                  <c:v>4931</c:v>
                </c:pt>
                <c:pt idx="1">
                  <c:v>2550</c:v>
                </c:pt>
                <c:pt idx="2">
                  <c:v>3403</c:v>
                </c:pt>
                <c:pt idx="3">
                  <c:v>2613</c:v>
                </c:pt>
                <c:pt idx="4">
                  <c:v>4020</c:v>
                </c:pt>
                <c:pt idx="5">
                  <c:v>3937</c:v>
                </c:pt>
                <c:pt idx="6">
                  <c:v>5757</c:v>
                </c:pt>
                <c:pt idx="7">
                  <c:v>1298</c:v>
                </c:pt>
              </c:numCache>
            </c:numRef>
          </c:val>
          <c:extLst>
            <c:ext xmlns:c16="http://schemas.microsoft.com/office/drawing/2014/chart" uri="{C3380CC4-5D6E-409C-BE32-E72D297353CC}">
              <c16:uniqueId val="{00000000-4F9D-F242-A87C-5772DD81D856}"/>
            </c:ext>
          </c:extLst>
        </c:ser>
        <c:dLbls>
          <c:showLegendKey val="0"/>
          <c:showVal val="0"/>
          <c:showCatName val="0"/>
          <c:showSerName val="0"/>
          <c:showPercent val="0"/>
          <c:showBubbleSize val="0"/>
        </c:dLbls>
        <c:gapWidth val="150"/>
        <c:shape val="box"/>
        <c:axId val="1412377839"/>
        <c:axId val="1409539551"/>
        <c:axId val="0"/>
      </c:bar3DChart>
      <c:catAx>
        <c:axId val="141237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9539551"/>
        <c:crosses val="autoZero"/>
        <c:auto val="1"/>
        <c:lblAlgn val="ctr"/>
        <c:lblOffset val="100"/>
        <c:noMultiLvlLbl val="0"/>
      </c:catAx>
      <c:valAx>
        <c:axId val="140953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23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pivot!$C$22</c:f>
              <c:strCache>
                <c:ptCount val="1"/>
                <c:pt idx="0">
                  <c:v>Sum of PROFIT</c:v>
                </c:pt>
              </c:strCache>
            </c:strRef>
          </c:tx>
          <c:spPr>
            <a:ln w="50800" cap="rnd">
              <a:solidFill>
                <a:srgbClr val="FF7B00"/>
              </a:solidFill>
              <a:round/>
            </a:ln>
            <a:effectLst>
              <a:glow rad="139700">
                <a:schemeClr val="accent2">
                  <a:satMod val="175000"/>
                  <a:alpha val="40000"/>
                </a:schemeClr>
              </a:glow>
            </a:effectLst>
          </c:spPr>
          <c:marker>
            <c:symbol val="diamond"/>
            <c:size val="12"/>
            <c:spPr>
              <a:solidFill>
                <a:schemeClr val="accent1"/>
              </a:solidFill>
              <a:ln w="9525">
                <a:solidFill>
                  <a:schemeClr val="bg1"/>
                </a:solidFill>
              </a:ln>
              <a:effectLst>
                <a:glow rad="139700">
                  <a:schemeClr val="accent2">
                    <a:satMod val="175000"/>
                    <a:alpha val="40000"/>
                  </a:schemeClr>
                </a:glow>
              </a:effectLst>
            </c:spPr>
          </c:marker>
          <c:cat>
            <c:strRef>
              <c:f>pivot!$B$23:$B$30</c:f>
              <c:strCache>
                <c:ptCount val="8"/>
                <c:pt idx="0">
                  <c:v>Bakery</c:v>
                </c:pt>
                <c:pt idx="1">
                  <c:v>Beverages</c:v>
                </c:pt>
                <c:pt idx="2">
                  <c:v>Dairy</c:v>
                </c:pt>
                <c:pt idx="3">
                  <c:v>Frozen Foods</c:v>
                </c:pt>
                <c:pt idx="4">
                  <c:v>Grocery</c:v>
                </c:pt>
                <c:pt idx="5">
                  <c:v>Household</c:v>
                </c:pt>
                <c:pt idx="6">
                  <c:v>Personal Care</c:v>
                </c:pt>
                <c:pt idx="7">
                  <c:v>Snacks</c:v>
                </c:pt>
              </c:strCache>
            </c:strRef>
          </c:cat>
          <c:val>
            <c:numRef>
              <c:f>pivot!$C$23:$C$30</c:f>
              <c:numCache>
                <c:formatCode>General</c:formatCode>
                <c:ptCount val="8"/>
                <c:pt idx="0">
                  <c:v>311122.97999999992</c:v>
                </c:pt>
                <c:pt idx="1">
                  <c:v>193209.26000000004</c:v>
                </c:pt>
                <c:pt idx="2">
                  <c:v>194157.64000000004</c:v>
                </c:pt>
                <c:pt idx="3">
                  <c:v>143168.84000000003</c:v>
                </c:pt>
                <c:pt idx="4">
                  <c:v>227825.30999999997</c:v>
                </c:pt>
                <c:pt idx="5">
                  <c:v>329570.18000000005</c:v>
                </c:pt>
                <c:pt idx="6">
                  <c:v>426026.62999999995</c:v>
                </c:pt>
                <c:pt idx="7">
                  <c:v>134487.56</c:v>
                </c:pt>
              </c:numCache>
            </c:numRef>
          </c:val>
          <c:smooth val="1"/>
          <c:extLst>
            <c:ext xmlns:c16="http://schemas.microsoft.com/office/drawing/2014/chart" uri="{C3380CC4-5D6E-409C-BE32-E72D297353CC}">
              <c16:uniqueId val="{00000000-6F20-4911-94DA-BFE2F758EF49}"/>
            </c:ext>
          </c:extLst>
        </c:ser>
        <c:dLbls>
          <c:showLegendKey val="0"/>
          <c:showVal val="0"/>
          <c:showCatName val="0"/>
          <c:showSerName val="0"/>
          <c:showPercent val="0"/>
          <c:showBubbleSize val="0"/>
        </c:dLbls>
        <c:marker val="1"/>
        <c:smooth val="0"/>
        <c:axId val="1741756423"/>
        <c:axId val="558235656"/>
      </c:lineChart>
      <c:catAx>
        <c:axId val="1741756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8235656"/>
        <c:crosses val="autoZero"/>
        <c:auto val="1"/>
        <c:lblAlgn val="ctr"/>
        <c:lblOffset val="100"/>
        <c:noMultiLvlLbl val="0"/>
      </c:catAx>
      <c:valAx>
        <c:axId val="558235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1756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3" Type="http://schemas.openxmlformats.org/officeDocument/2006/relationships/image" Target="../media/image2.png"/><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chart" Target="../charts/chart3.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400050</xdr:colOff>
      <xdr:row>137</xdr:row>
      <xdr:rowOff>38100</xdr:rowOff>
    </xdr:from>
    <xdr:to>
      <xdr:col>4</xdr:col>
      <xdr:colOff>314325</xdr:colOff>
      <xdr:row>138</xdr:row>
      <xdr:rowOff>76200</xdr:rowOff>
    </xdr:to>
    <xdr:graphicFrame macro="">
      <xdr:nvGraphicFramePr>
        <xdr:cNvPr id="10" name="Chart 4">
          <a:extLst>
            <a:ext uri="{FF2B5EF4-FFF2-40B4-BE49-F238E27FC236}">
              <a16:creationId xmlns:a16="http://schemas.microsoft.com/office/drawing/2014/main" id="{4FFBBB21-0C30-43AA-87D3-83151C5AACA7}"/>
            </a:ext>
            <a:ext uri="{147F2762-F138-4A5C-976F-8EAC2B608ADB}">
              <a16:predDERef xmlns:a16="http://schemas.microsoft.com/office/drawing/2014/main" pred="{3D413992-85AE-426E-9C7A-51857DDAE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56</xdr:row>
      <xdr:rowOff>0</xdr:rowOff>
    </xdr:from>
    <xdr:to>
      <xdr:col>7</xdr:col>
      <xdr:colOff>472702</xdr:colOff>
      <xdr:row>79</xdr:row>
      <xdr:rowOff>114495</xdr:rowOff>
    </xdr:to>
    <xdr:graphicFrame macro="">
      <xdr:nvGraphicFramePr>
        <xdr:cNvPr id="5" name="Chart 4">
          <a:extLst>
            <a:ext uri="{FF2B5EF4-FFF2-40B4-BE49-F238E27FC236}">
              <a16:creationId xmlns:a16="http://schemas.microsoft.com/office/drawing/2014/main" id="{6E430F32-B8B3-4F26-AA2A-5E97E907C179}"/>
            </a:ext>
            <a:ext uri="{147F2762-F138-4A5C-976F-8EAC2B608ADB}">
              <a16:predDERef xmlns:a16="http://schemas.microsoft.com/office/drawing/2014/main" pred="{3A565D62-F67D-EC45-8F9F-F7EAAEA98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21710</xdr:rowOff>
    </xdr:from>
    <xdr:to>
      <xdr:col>4</xdr:col>
      <xdr:colOff>336495</xdr:colOff>
      <xdr:row>12</xdr:row>
      <xdr:rowOff>192346</xdr:rowOff>
    </xdr:to>
    <xdr:graphicFrame macro="">
      <xdr:nvGraphicFramePr>
        <xdr:cNvPr id="21" name="Chart 20">
          <a:extLst>
            <a:ext uri="{FF2B5EF4-FFF2-40B4-BE49-F238E27FC236}">
              <a16:creationId xmlns:a16="http://schemas.microsoft.com/office/drawing/2014/main" id="{608048DE-087F-E748-88C1-E48B2ED8A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20933</xdr:rowOff>
    </xdr:from>
    <xdr:to>
      <xdr:col>2</xdr:col>
      <xdr:colOff>722224</xdr:colOff>
      <xdr:row>53</xdr:row>
      <xdr:rowOff>16933</xdr:rowOff>
    </xdr:to>
    <xdr:sp macro="" textlink="">
      <xdr:nvSpPr>
        <xdr:cNvPr id="317" name="Rectangle 2">
          <a:extLst>
            <a:ext uri="{FF2B5EF4-FFF2-40B4-BE49-F238E27FC236}">
              <a16:creationId xmlns:a16="http://schemas.microsoft.com/office/drawing/2014/main" id="{D13DCD3D-0E22-9154-A103-4A8AE33870AD}"/>
            </a:ext>
          </a:extLst>
        </xdr:cNvPr>
        <xdr:cNvSpPr/>
      </xdr:nvSpPr>
      <xdr:spPr>
        <a:xfrm>
          <a:off x="0" y="20933"/>
          <a:ext cx="2381691" cy="9868133"/>
        </a:xfrm>
        <a:prstGeom prst="rect">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381000</xdr:colOff>
      <xdr:row>12</xdr:row>
      <xdr:rowOff>28575</xdr:rowOff>
    </xdr:from>
    <xdr:ext cx="184731" cy="264560"/>
    <xdr:sp macro="" textlink="">
      <xdr:nvSpPr>
        <xdr:cNvPr id="5" name="TextBox 4">
          <a:extLst>
            <a:ext uri="{FF2B5EF4-FFF2-40B4-BE49-F238E27FC236}">
              <a16:creationId xmlns:a16="http://schemas.microsoft.com/office/drawing/2014/main" id="{C9657E15-4A31-B728-71B8-A6F3137720D3}"/>
            </a:ext>
          </a:extLst>
        </xdr:cNvPr>
        <xdr:cNvSpPr txBox="1"/>
      </xdr:nvSpPr>
      <xdr:spPr>
        <a:xfrm>
          <a:off x="5448300" y="2314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twoCellAnchor>
    <xdr:from>
      <xdr:col>3</xdr:col>
      <xdr:colOff>275166</xdr:colOff>
      <xdr:row>1</xdr:row>
      <xdr:rowOff>56842</xdr:rowOff>
    </xdr:from>
    <xdr:to>
      <xdr:col>11</xdr:col>
      <xdr:colOff>275167</xdr:colOff>
      <xdr:row>6</xdr:row>
      <xdr:rowOff>180667</xdr:rowOff>
    </xdr:to>
    <xdr:grpSp>
      <xdr:nvGrpSpPr>
        <xdr:cNvPr id="2340" name="Group 9">
          <a:extLst>
            <a:ext uri="{FF2B5EF4-FFF2-40B4-BE49-F238E27FC236}">
              <a16:creationId xmlns:a16="http://schemas.microsoft.com/office/drawing/2014/main" id="{61AADB7E-2DC9-6E58-6BCA-D514EBAEFEEF}"/>
            </a:ext>
          </a:extLst>
        </xdr:cNvPr>
        <xdr:cNvGrpSpPr/>
      </xdr:nvGrpSpPr>
      <xdr:grpSpPr>
        <a:xfrm>
          <a:off x="2508003" y="234051"/>
          <a:ext cx="5954234" cy="1169360"/>
          <a:chOff x="2095499" y="114300"/>
          <a:chExt cx="4314826" cy="771525"/>
        </a:xfrm>
      </xdr:grpSpPr>
      <xdr:sp macro="" textlink="">
        <xdr:nvSpPr>
          <xdr:cNvPr id="2341" name="Rectangle: Rounded Corners 3">
            <a:extLst>
              <a:ext uri="{FF2B5EF4-FFF2-40B4-BE49-F238E27FC236}">
                <a16:creationId xmlns:a16="http://schemas.microsoft.com/office/drawing/2014/main" id="{41A667CD-4951-DAD3-1203-08842FB7B0E5}"/>
              </a:ext>
            </a:extLst>
          </xdr:cNvPr>
          <xdr:cNvSpPr/>
        </xdr:nvSpPr>
        <xdr:spPr>
          <a:xfrm>
            <a:off x="2095499" y="114300"/>
            <a:ext cx="4314826" cy="771525"/>
          </a:xfrm>
          <a:prstGeom prst="roundRect">
            <a:avLst/>
          </a:prstGeom>
          <a:ln w="38100">
            <a:solidFill>
              <a:srgbClr val="FF7B00"/>
            </a:solidFill>
          </a:ln>
          <a:effectLst>
            <a:glow rad="228600">
              <a:schemeClr val="accent2">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3600">
              <a:latin typeface="Congenial Black" panose="02000503040000020004" pitchFamily="2" charset="0"/>
            </a:endParaRPr>
          </a:p>
        </xdr:txBody>
      </xdr:sp>
      <xdr:pic>
        <xdr:nvPicPr>
          <xdr:cNvPr id="2342" name="Picture 6">
            <a:extLst>
              <a:ext uri="{FF2B5EF4-FFF2-40B4-BE49-F238E27FC236}">
                <a16:creationId xmlns:a16="http://schemas.microsoft.com/office/drawing/2014/main" id="{7729A9F6-9AEE-1A13-259E-D06D13C6E1FE}"/>
              </a:ext>
            </a:extLst>
          </xdr:cNvPr>
          <xdr:cNvPicPr>
            <a:picLocks noChangeAspect="1"/>
          </xdr:cNvPicPr>
        </xdr:nvPicPr>
        <xdr:blipFill>
          <a:blip xmlns:r="http://schemas.openxmlformats.org/officeDocument/2006/relationships" r:embed="rId2"/>
          <a:stretch>
            <a:fillRect/>
          </a:stretch>
        </xdr:blipFill>
        <xdr:spPr>
          <a:xfrm>
            <a:off x="2457450" y="276225"/>
            <a:ext cx="2962275" cy="408807"/>
          </a:xfrm>
          <a:prstGeom prst="rect">
            <a:avLst/>
          </a:prstGeom>
          <a:effectLst>
            <a:glow rad="127000">
              <a:schemeClr val="bg2">
                <a:lumMod val="25000"/>
              </a:schemeClr>
            </a:glow>
            <a:outerShdw blurRad="50800" dist="50800" dir="5400000" algn="ctr" rotWithShape="0">
              <a:schemeClr val="bg2">
                <a:lumMod val="25000"/>
                <a:alpha val="51000"/>
              </a:schemeClr>
            </a:outerShdw>
            <a:reflection stA="0" endPos="65000" dist="50800" dir="5400000" sy="-100000" algn="bl" rotWithShape="0"/>
          </a:effectLst>
        </xdr:spPr>
      </xdr:pic>
      <xdr:pic>
        <xdr:nvPicPr>
          <xdr:cNvPr id="2343" name="Picture 8">
            <a:extLst>
              <a:ext uri="{FF2B5EF4-FFF2-40B4-BE49-F238E27FC236}">
                <a16:creationId xmlns:a16="http://schemas.microsoft.com/office/drawing/2014/main" id="{4F665AD9-B116-D629-3169-2509A0B264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89387" y="152400"/>
            <a:ext cx="688200" cy="657224"/>
          </a:xfrm>
          <a:prstGeom prst="rect">
            <a:avLst/>
          </a:prstGeom>
        </xdr:spPr>
      </xdr:pic>
    </xdr:grpSp>
    <xdr:clientData/>
  </xdr:twoCellAnchor>
  <xdr:oneCellAnchor>
    <xdr:from>
      <xdr:col>7</xdr:col>
      <xdr:colOff>333375</xdr:colOff>
      <xdr:row>17</xdr:row>
      <xdr:rowOff>28575</xdr:rowOff>
    </xdr:from>
    <xdr:ext cx="184731" cy="264560"/>
    <xdr:sp macro="" textlink="">
      <xdr:nvSpPr>
        <xdr:cNvPr id="12" name="TextBox 11">
          <a:extLst>
            <a:ext uri="{FF2B5EF4-FFF2-40B4-BE49-F238E27FC236}">
              <a16:creationId xmlns:a16="http://schemas.microsoft.com/office/drawing/2014/main" id="{EB3BC1F3-46B9-8BF8-4495-795EB59B1518}"/>
            </a:ext>
          </a:extLst>
        </xdr:cNvPr>
        <xdr:cNvSpPr txBox="1"/>
      </xdr:nvSpPr>
      <xdr:spPr>
        <a:xfrm>
          <a:off x="5400675" y="32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419100</xdr:colOff>
      <xdr:row>12</xdr:row>
      <xdr:rowOff>161925</xdr:rowOff>
    </xdr:from>
    <xdr:ext cx="184731" cy="264560"/>
    <xdr:sp macro="" textlink="">
      <xdr:nvSpPr>
        <xdr:cNvPr id="13" name="TextBox 12">
          <a:extLst>
            <a:ext uri="{FF2B5EF4-FFF2-40B4-BE49-F238E27FC236}">
              <a16:creationId xmlns:a16="http://schemas.microsoft.com/office/drawing/2014/main" id="{C05D212D-5DEE-C13D-C066-BAE7BDAD9231}"/>
            </a:ext>
          </a:extLst>
        </xdr:cNvPr>
        <xdr:cNvSpPr txBox="1"/>
      </xdr:nvSpPr>
      <xdr:spPr>
        <a:xfrm>
          <a:off x="419100" y="24810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twoCellAnchor>
    <xdr:from>
      <xdr:col>3</xdr:col>
      <xdr:colOff>214601</xdr:colOff>
      <xdr:row>34</xdr:row>
      <xdr:rowOff>154689</xdr:rowOff>
    </xdr:from>
    <xdr:to>
      <xdr:col>11</xdr:col>
      <xdr:colOff>485461</xdr:colOff>
      <xdr:row>51</xdr:row>
      <xdr:rowOff>74661</xdr:rowOff>
    </xdr:to>
    <xdr:sp macro="" textlink="">
      <xdr:nvSpPr>
        <xdr:cNvPr id="2272" name="Rectangle: Rounded Corners 13">
          <a:extLst>
            <a:ext uri="{FF2B5EF4-FFF2-40B4-BE49-F238E27FC236}">
              <a16:creationId xmlns:a16="http://schemas.microsoft.com/office/drawing/2014/main" id="{314D5A91-2108-CCA4-AE7B-0EE341663B88}"/>
            </a:ext>
          </a:extLst>
        </xdr:cNvPr>
        <xdr:cNvSpPr/>
      </xdr:nvSpPr>
      <xdr:spPr>
        <a:xfrm>
          <a:off x="2703801" y="6487756"/>
          <a:ext cx="6908727" cy="3086505"/>
        </a:xfrm>
        <a:prstGeom prst="roundRect">
          <a:avLst/>
        </a:prstGeom>
        <a:noFill/>
        <a:ln>
          <a:solidFill>
            <a:schemeClr val="tx1">
              <a:lumMod val="95000"/>
              <a:lumOff val="5000"/>
            </a:schemeClr>
          </a:solidFill>
        </a:ln>
        <a:effectLst>
          <a:glow rad="63500">
            <a:schemeClr val="bg2">
              <a:lumMod val="9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152922</xdr:colOff>
      <xdr:row>36</xdr:row>
      <xdr:rowOff>125651</xdr:rowOff>
    </xdr:from>
    <xdr:to>
      <xdr:col>9</xdr:col>
      <xdr:colOff>63181</xdr:colOff>
      <xdr:row>39</xdr:row>
      <xdr:rowOff>169823</xdr:rowOff>
    </xdr:to>
    <xdr:sp macro="" textlink="">
      <xdr:nvSpPr>
        <xdr:cNvPr id="2270" name="TextBox 18">
          <a:extLst>
            <a:ext uri="{FF2B5EF4-FFF2-40B4-BE49-F238E27FC236}">
              <a16:creationId xmlns:a16="http://schemas.microsoft.com/office/drawing/2014/main" id="{2E5E2513-CBB1-C7BA-A2A6-0A0886D102BA}"/>
            </a:ext>
          </a:extLst>
        </xdr:cNvPr>
        <xdr:cNvSpPr txBox="1"/>
      </xdr:nvSpPr>
      <xdr:spPr>
        <a:xfrm>
          <a:off x="5131322" y="6831251"/>
          <a:ext cx="2399459" cy="602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bg1"/>
              </a:solidFill>
              <a:latin typeface="Congenial" panose="02000503040000020004" pitchFamily="2" charset="0"/>
            </a:rPr>
            <a:t>NO.OF</a:t>
          </a:r>
          <a:r>
            <a:rPr lang="en-IN" sz="1600" b="1" baseline="0">
              <a:solidFill>
                <a:schemeClr val="bg1"/>
              </a:solidFill>
              <a:latin typeface="Congenial" panose="02000503040000020004" pitchFamily="2" charset="0"/>
            </a:rPr>
            <a:t> STOCK LEFT</a:t>
          </a:r>
          <a:endParaRPr lang="en-IN" sz="1600" b="1">
            <a:solidFill>
              <a:schemeClr val="bg1"/>
            </a:solidFill>
            <a:latin typeface="Congenial" panose="02000503040000020004" pitchFamily="2" charset="0"/>
          </a:endParaRPr>
        </a:p>
      </xdr:txBody>
    </xdr:sp>
    <xdr:clientData/>
  </xdr:twoCellAnchor>
  <xdr:twoCellAnchor>
    <xdr:from>
      <xdr:col>0</xdr:col>
      <xdr:colOff>184054</xdr:colOff>
      <xdr:row>9</xdr:row>
      <xdr:rowOff>29852</xdr:rowOff>
    </xdr:from>
    <xdr:to>
      <xdr:col>2</xdr:col>
      <xdr:colOff>666654</xdr:colOff>
      <xdr:row>20</xdr:row>
      <xdr:rowOff>183122</xdr:rowOff>
    </xdr:to>
    <xdr:grpSp>
      <xdr:nvGrpSpPr>
        <xdr:cNvPr id="28" name="Group 28">
          <a:extLst>
            <a:ext uri="{FF2B5EF4-FFF2-40B4-BE49-F238E27FC236}">
              <a16:creationId xmlns:a16="http://schemas.microsoft.com/office/drawing/2014/main" id="{128B22BC-2965-79BA-C02D-0D9C08631677}"/>
            </a:ext>
          </a:extLst>
        </xdr:cNvPr>
        <xdr:cNvGrpSpPr/>
      </xdr:nvGrpSpPr>
      <xdr:grpSpPr>
        <a:xfrm>
          <a:off x="184054" y="1943712"/>
          <a:ext cx="1971158" cy="2687363"/>
          <a:chOff x="0" y="1676400"/>
          <a:chExt cx="2032000" cy="2122294"/>
        </a:xfrm>
      </xdr:grpSpPr>
      <xdr:graphicFrame macro="">
        <xdr:nvGraphicFramePr>
          <xdr:cNvPr id="29" name="Chart 26">
            <a:extLst>
              <a:ext uri="{FF2B5EF4-FFF2-40B4-BE49-F238E27FC236}">
                <a16:creationId xmlns:a16="http://schemas.microsoft.com/office/drawing/2014/main" id="{7009E8EC-7C42-2149-9FEF-C344DB8ECA68}"/>
              </a:ext>
            </a:extLst>
          </xdr:cNvPr>
          <xdr:cNvGraphicFramePr>
            <a:graphicFrameLocks/>
          </xdr:cNvGraphicFramePr>
        </xdr:nvGraphicFramePr>
        <xdr:xfrm>
          <a:off x="0" y="1676400"/>
          <a:ext cx="2032000" cy="2122294"/>
        </xdr:xfrm>
        <a:graphic>
          <a:graphicData uri="http://schemas.openxmlformats.org/drawingml/2006/chart">
            <c:chart xmlns:c="http://schemas.openxmlformats.org/drawingml/2006/chart" xmlns:r="http://schemas.openxmlformats.org/officeDocument/2006/relationships" r:id="rId4"/>
          </a:graphicData>
        </a:graphic>
      </xdr:graphicFrame>
      <xdr:sp macro="" textlink="pivot!C6">
        <xdr:nvSpPr>
          <xdr:cNvPr id="54" name="TextBox 27">
            <a:extLst>
              <a:ext uri="{FF2B5EF4-FFF2-40B4-BE49-F238E27FC236}">
                <a16:creationId xmlns:a16="http://schemas.microsoft.com/office/drawing/2014/main" id="{1DC46088-1572-0D3F-126A-80BF59063279}"/>
              </a:ext>
            </a:extLst>
          </xdr:cNvPr>
          <xdr:cNvSpPr txBox="1"/>
        </xdr:nvSpPr>
        <xdr:spPr>
          <a:xfrm>
            <a:off x="609314" y="2603500"/>
            <a:ext cx="850368" cy="230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49544E1-4C7F-0C4F-BB1C-E88438A63783}" type="TxLink">
              <a:rPr lang="en-US" sz="1400" b="0" i="0" u="none" strike="noStrike">
                <a:solidFill>
                  <a:srgbClr val="000000"/>
                </a:solidFill>
                <a:latin typeface="Copperplate Gothic Bold" panose="020E0705020206020404" pitchFamily="34" charset="77"/>
              </a:rPr>
              <a:pPr/>
              <a:t>54727</a:t>
            </a:fld>
            <a:endParaRPr lang="en-US" sz="1400">
              <a:latin typeface="Copperplate Gothic Bold" panose="020E0705020206020404" pitchFamily="34" charset="77"/>
            </a:endParaRPr>
          </a:p>
        </xdr:txBody>
      </xdr:sp>
    </xdr:grpSp>
    <xdr:clientData/>
  </xdr:twoCellAnchor>
  <xdr:twoCellAnchor>
    <xdr:from>
      <xdr:col>0</xdr:col>
      <xdr:colOff>141616</xdr:colOff>
      <xdr:row>24</xdr:row>
      <xdr:rowOff>20272</xdr:rowOff>
    </xdr:from>
    <xdr:to>
      <xdr:col>2</xdr:col>
      <xdr:colOff>621168</xdr:colOff>
      <xdr:row>35</xdr:row>
      <xdr:rowOff>179267</xdr:rowOff>
    </xdr:to>
    <xdr:grpSp>
      <xdr:nvGrpSpPr>
        <xdr:cNvPr id="22" name="Group 40">
          <a:extLst>
            <a:ext uri="{FF2B5EF4-FFF2-40B4-BE49-F238E27FC236}">
              <a16:creationId xmlns:a16="http://schemas.microsoft.com/office/drawing/2014/main" id="{D25BB5B1-468F-69E4-1F55-1877376C4B30}"/>
            </a:ext>
          </a:extLst>
        </xdr:cNvPr>
        <xdr:cNvGrpSpPr/>
      </xdr:nvGrpSpPr>
      <xdr:grpSpPr>
        <a:xfrm>
          <a:off x="141616" y="5389714"/>
          <a:ext cx="1968110" cy="2693088"/>
          <a:chOff x="12700" y="3813908"/>
          <a:chExt cx="2126365" cy="2308039"/>
        </a:xfrm>
      </xdr:grpSpPr>
      <xdr:graphicFrame macro="">
        <xdr:nvGraphicFramePr>
          <xdr:cNvPr id="23" name="Chart 7">
            <a:extLst>
              <a:ext uri="{FF2B5EF4-FFF2-40B4-BE49-F238E27FC236}">
                <a16:creationId xmlns:a16="http://schemas.microsoft.com/office/drawing/2014/main" id="{75B400B0-FFBB-DA47-AEA0-91F8FF45CDF7}"/>
              </a:ext>
            </a:extLst>
          </xdr:cNvPr>
          <xdr:cNvGraphicFramePr>
            <a:graphicFrameLocks/>
          </xdr:cNvGraphicFramePr>
        </xdr:nvGraphicFramePr>
        <xdr:xfrm>
          <a:off x="12700" y="3813908"/>
          <a:ext cx="2126365" cy="2308039"/>
        </xdr:xfrm>
        <a:graphic>
          <a:graphicData uri="http://schemas.openxmlformats.org/drawingml/2006/chart">
            <c:chart xmlns:c="http://schemas.openxmlformats.org/drawingml/2006/chart" xmlns:r="http://schemas.openxmlformats.org/officeDocument/2006/relationships" r:id="rId5"/>
          </a:graphicData>
        </a:graphic>
      </xdr:graphicFrame>
      <xdr:sp macro="" textlink="pivot!D6">
        <xdr:nvSpPr>
          <xdr:cNvPr id="24" name="TextBox 30">
            <a:extLst>
              <a:ext uri="{FF2B5EF4-FFF2-40B4-BE49-F238E27FC236}">
                <a16:creationId xmlns:a16="http://schemas.microsoft.com/office/drawing/2014/main" id="{92ED7EF2-AD46-CA4B-AC0A-A9B2CBCDA49D}"/>
              </a:ext>
            </a:extLst>
          </xdr:cNvPr>
          <xdr:cNvSpPr txBox="1"/>
        </xdr:nvSpPr>
        <xdr:spPr>
          <a:xfrm>
            <a:off x="571500" y="4816231"/>
            <a:ext cx="843436" cy="338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9C06791-6224-984E-BE6C-28E2B9510309}" type="TxLink">
              <a:rPr lang="en-US" sz="1400" b="0" i="0" u="none" strike="noStrike">
                <a:solidFill>
                  <a:srgbClr val="000000"/>
                </a:solidFill>
                <a:latin typeface="Copperplate Gothic Bold" panose="020E0705020206020404" pitchFamily="34" charset="77"/>
              </a:rPr>
              <a:pPr/>
              <a:t>28509</a:t>
            </a:fld>
            <a:endParaRPr lang="en-US" sz="1400">
              <a:latin typeface="Copperplate Gothic Bold" panose="020E0705020206020404" pitchFamily="34" charset="77"/>
            </a:endParaRPr>
          </a:p>
        </xdr:txBody>
      </xdr:sp>
    </xdr:grpSp>
    <xdr:clientData/>
  </xdr:twoCellAnchor>
  <xdr:twoCellAnchor>
    <xdr:from>
      <xdr:col>0</xdr:col>
      <xdr:colOff>73338</xdr:colOff>
      <xdr:row>38</xdr:row>
      <xdr:rowOff>186347</xdr:rowOff>
    </xdr:from>
    <xdr:to>
      <xdr:col>2</xdr:col>
      <xdr:colOff>552890</xdr:colOff>
      <xdr:row>50</xdr:row>
      <xdr:rowOff>145570</xdr:rowOff>
    </xdr:to>
    <xdr:grpSp>
      <xdr:nvGrpSpPr>
        <xdr:cNvPr id="2" name="Group 39">
          <a:extLst>
            <a:ext uri="{FF2B5EF4-FFF2-40B4-BE49-F238E27FC236}">
              <a16:creationId xmlns:a16="http://schemas.microsoft.com/office/drawing/2014/main" id="{C53E9D24-5CE9-CC5F-7F4B-6944C212F7CF}"/>
            </a:ext>
          </a:extLst>
        </xdr:cNvPr>
        <xdr:cNvGrpSpPr/>
      </xdr:nvGrpSpPr>
      <xdr:grpSpPr>
        <a:xfrm>
          <a:off x="73338" y="8780998"/>
          <a:ext cx="1968110" cy="2670525"/>
          <a:chOff x="0" y="6209323"/>
          <a:chExt cx="2126365" cy="2308039"/>
        </a:xfrm>
      </xdr:grpSpPr>
      <xdr:graphicFrame macro="">
        <xdr:nvGraphicFramePr>
          <xdr:cNvPr id="4" name="Chart 6">
            <a:extLst>
              <a:ext uri="{FF2B5EF4-FFF2-40B4-BE49-F238E27FC236}">
                <a16:creationId xmlns:a16="http://schemas.microsoft.com/office/drawing/2014/main" id="{FEB3F365-2F24-1242-AE5A-3F31FE9A520F}"/>
              </a:ext>
            </a:extLst>
          </xdr:cNvPr>
          <xdr:cNvGraphicFramePr>
            <a:graphicFrameLocks/>
          </xdr:cNvGraphicFramePr>
        </xdr:nvGraphicFramePr>
        <xdr:xfrm>
          <a:off x="0" y="6209323"/>
          <a:ext cx="2126365" cy="2308039"/>
        </xdr:xfrm>
        <a:graphic>
          <a:graphicData uri="http://schemas.openxmlformats.org/drawingml/2006/chart">
            <c:chart xmlns:c="http://schemas.openxmlformats.org/drawingml/2006/chart" xmlns:r="http://schemas.openxmlformats.org/officeDocument/2006/relationships" r:id="rId6"/>
          </a:graphicData>
        </a:graphic>
      </xdr:graphicFrame>
      <xdr:sp macro="" textlink="pivot!B6">
        <xdr:nvSpPr>
          <xdr:cNvPr id="6" name="TextBox 32">
            <a:extLst>
              <a:ext uri="{FF2B5EF4-FFF2-40B4-BE49-F238E27FC236}">
                <a16:creationId xmlns:a16="http://schemas.microsoft.com/office/drawing/2014/main" id="{3302E5C0-080D-5F49-84E9-4891921B526B}"/>
              </a:ext>
            </a:extLst>
          </xdr:cNvPr>
          <xdr:cNvSpPr txBox="1"/>
        </xdr:nvSpPr>
        <xdr:spPr>
          <a:xfrm>
            <a:off x="533400" y="7211646"/>
            <a:ext cx="843436" cy="338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6CC9C44-E8C5-FC4C-9CB7-D2DAE808CF36}" type="TxLink">
              <a:rPr lang="en-US" sz="1400" b="0" i="0" u="none" strike="noStrike">
                <a:solidFill>
                  <a:srgbClr val="000000"/>
                </a:solidFill>
                <a:latin typeface="Copperplate Gothic Bold" panose="020E0705020206020404" pitchFamily="34" charset="77"/>
              </a:rPr>
              <a:pPr/>
              <a:t>26218</a:t>
            </a:fld>
            <a:endParaRPr lang="en-US" sz="1400">
              <a:latin typeface="Copperplate Gothic Bold" panose="020E0705020206020404" pitchFamily="34" charset="77"/>
            </a:endParaRPr>
          </a:p>
        </xdr:txBody>
      </xdr:sp>
    </xdr:grpSp>
    <xdr:clientData/>
  </xdr:twoCellAnchor>
  <xdr:twoCellAnchor>
    <xdr:from>
      <xdr:col>0</xdr:col>
      <xdr:colOff>405171</xdr:colOff>
      <xdr:row>6</xdr:row>
      <xdr:rowOff>15987</xdr:rowOff>
    </xdr:from>
    <xdr:to>
      <xdr:col>2</xdr:col>
      <xdr:colOff>392471</xdr:colOff>
      <xdr:row>7</xdr:row>
      <xdr:rowOff>99814</xdr:rowOff>
    </xdr:to>
    <xdr:grpSp>
      <xdr:nvGrpSpPr>
        <xdr:cNvPr id="3" name="Group 45">
          <a:extLst>
            <a:ext uri="{FF2B5EF4-FFF2-40B4-BE49-F238E27FC236}">
              <a16:creationId xmlns:a16="http://schemas.microsoft.com/office/drawing/2014/main" id="{A9C9A372-064A-87E1-C9E9-EB7CB88268E2}"/>
            </a:ext>
            <a:ext uri="{147F2762-F138-4A5C-976F-8EAC2B608ADB}">
              <a16:predDERef xmlns:a16="http://schemas.microsoft.com/office/drawing/2014/main" pred="{C53E9D24-5CE9-CC5F-7F4B-6944C212F7CF}"/>
            </a:ext>
          </a:extLst>
        </xdr:cNvPr>
        <xdr:cNvGrpSpPr/>
      </xdr:nvGrpSpPr>
      <xdr:grpSpPr>
        <a:xfrm>
          <a:off x="405171" y="1238731"/>
          <a:ext cx="1475858" cy="314199"/>
          <a:chOff x="255256" y="1195196"/>
          <a:chExt cx="1634113" cy="284284"/>
        </a:xfrm>
        <a:effectLst>
          <a:outerShdw blurRad="50800" dist="38100" dir="5400000" algn="t" rotWithShape="0">
            <a:prstClr val="black">
              <a:alpha val="40000"/>
            </a:prstClr>
          </a:outerShdw>
        </a:effectLst>
      </xdr:grpSpPr>
      <xdr:sp macro="" textlink="">
        <xdr:nvSpPr>
          <xdr:cNvPr id="8" name="Round Diagonal Corner Rectangle 36">
            <a:extLst>
              <a:ext uri="{FF2B5EF4-FFF2-40B4-BE49-F238E27FC236}">
                <a16:creationId xmlns:a16="http://schemas.microsoft.com/office/drawing/2014/main" id="{38D619CD-76E5-E8A6-1FC3-89E37D4A605E}"/>
              </a:ext>
            </a:extLst>
          </xdr:cNvPr>
          <xdr:cNvSpPr/>
        </xdr:nvSpPr>
        <xdr:spPr>
          <a:xfrm>
            <a:off x="255256" y="1195196"/>
            <a:ext cx="1634113" cy="284284"/>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41">
            <a:extLst>
              <a:ext uri="{FF2B5EF4-FFF2-40B4-BE49-F238E27FC236}">
                <a16:creationId xmlns:a16="http://schemas.microsoft.com/office/drawing/2014/main" id="{B661E5A7-E4DC-4C55-958F-1E67356B3C25}"/>
              </a:ext>
            </a:extLst>
          </xdr:cNvPr>
          <xdr:cNvSpPr txBox="1"/>
        </xdr:nvSpPr>
        <xdr:spPr>
          <a:xfrm>
            <a:off x="502418" y="1214176"/>
            <a:ext cx="1197444"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TOTAL STOCK</a:t>
            </a:r>
          </a:p>
        </xdr:txBody>
      </xdr:sp>
    </xdr:grpSp>
    <xdr:clientData/>
  </xdr:twoCellAnchor>
  <xdr:twoCellAnchor>
    <xdr:from>
      <xdr:col>0</xdr:col>
      <xdr:colOff>336838</xdr:colOff>
      <xdr:row>21</xdr:row>
      <xdr:rowOff>178230</xdr:rowOff>
    </xdr:from>
    <xdr:to>
      <xdr:col>2</xdr:col>
      <xdr:colOff>324138</xdr:colOff>
      <xdr:row>23</xdr:row>
      <xdr:rowOff>80644</xdr:rowOff>
    </xdr:to>
    <xdr:grpSp>
      <xdr:nvGrpSpPr>
        <xdr:cNvPr id="25" name="Group 46">
          <a:extLst>
            <a:ext uri="{FF2B5EF4-FFF2-40B4-BE49-F238E27FC236}">
              <a16:creationId xmlns:a16="http://schemas.microsoft.com/office/drawing/2014/main" id="{71DC859B-E826-659D-4C29-7BA1BA989D12}"/>
            </a:ext>
          </a:extLst>
        </xdr:cNvPr>
        <xdr:cNvGrpSpPr/>
      </xdr:nvGrpSpPr>
      <xdr:grpSpPr>
        <a:xfrm>
          <a:off x="336838" y="4856556"/>
          <a:ext cx="1475858" cy="363158"/>
          <a:chOff x="242556" y="3896387"/>
          <a:chExt cx="1634113" cy="289169"/>
        </a:xfrm>
        <a:effectLst>
          <a:outerShdw blurRad="50800" dist="38100" dir="5400000" algn="t" rotWithShape="0">
            <a:prstClr val="black">
              <a:alpha val="40000"/>
            </a:prstClr>
          </a:outerShdw>
        </a:effectLst>
      </xdr:grpSpPr>
      <xdr:sp macro="" textlink="">
        <xdr:nvSpPr>
          <xdr:cNvPr id="26" name="Round Diagonal Corner Rectangle 37">
            <a:extLst>
              <a:ext uri="{FF2B5EF4-FFF2-40B4-BE49-F238E27FC236}">
                <a16:creationId xmlns:a16="http://schemas.microsoft.com/office/drawing/2014/main" id="{AF28EDE2-5CE7-884D-B2B0-2BDBBB5A3C6C}"/>
              </a:ext>
            </a:extLst>
          </xdr:cNvPr>
          <xdr:cNvSpPr/>
        </xdr:nvSpPr>
        <xdr:spPr>
          <a:xfrm>
            <a:off x="242556" y="3896387"/>
            <a:ext cx="1634113" cy="289169"/>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43">
            <a:extLst>
              <a:ext uri="{FF2B5EF4-FFF2-40B4-BE49-F238E27FC236}">
                <a16:creationId xmlns:a16="http://schemas.microsoft.com/office/drawing/2014/main" id="{92F76DB5-2DC3-646A-9498-FC44B3E7EFCA}"/>
              </a:ext>
            </a:extLst>
          </xdr:cNvPr>
          <xdr:cNvSpPr txBox="1"/>
        </xdr:nvSpPr>
        <xdr:spPr>
          <a:xfrm>
            <a:off x="488461" y="3907692"/>
            <a:ext cx="1118191"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SOLD STOCK</a:t>
            </a:r>
          </a:p>
        </xdr:txBody>
      </xdr:sp>
    </xdr:grpSp>
    <xdr:clientData/>
  </xdr:twoCellAnchor>
  <xdr:twoCellAnchor>
    <xdr:from>
      <xdr:col>0</xdr:col>
      <xdr:colOff>250861</xdr:colOff>
      <xdr:row>36</xdr:row>
      <xdr:rowOff>178672</xdr:rowOff>
    </xdr:from>
    <xdr:to>
      <xdr:col>2</xdr:col>
      <xdr:colOff>238161</xdr:colOff>
      <xdr:row>38</xdr:row>
      <xdr:rowOff>81087</xdr:rowOff>
    </xdr:to>
    <xdr:grpSp>
      <xdr:nvGrpSpPr>
        <xdr:cNvPr id="7" name="Group 47">
          <a:extLst>
            <a:ext uri="{FF2B5EF4-FFF2-40B4-BE49-F238E27FC236}">
              <a16:creationId xmlns:a16="http://schemas.microsoft.com/office/drawing/2014/main" id="{83706ACB-D32E-8C1B-ADB1-7D75E1984E26}"/>
            </a:ext>
          </a:extLst>
        </xdr:cNvPr>
        <xdr:cNvGrpSpPr/>
      </xdr:nvGrpSpPr>
      <xdr:grpSpPr>
        <a:xfrm>
          <a:off x="250861" y="8312579"/>
          <a:ext cx="1475858" cy="363159"/>
          <a:chOff x="228600" y="6584880"/>
          <a:chExt cx="1634113" cy="289170"/>
        </a:xfrm>
        <a:effectLst>
          <a:outerShdw blurRad="50800" dist="38100" dir="5400000" algn="t" rotWithShape="0">
            <a:prstClr val="black">
              <a:alpha val="40000"/>
            </a:prstClr>
          </a:outerShdw>
        </a:effectLst>
      </xdr:grpSpPr>
      <xdr:sp macro="" textlink="">
        <xdr:nvSpPr>
          <xdr:cNvPr id="11" name="Round Diagonal Corner Rectangle 38">
            <a:extLst>
              <a:ext uri="{FF2B5EF4-FFF2-40B4-BE49-F238E27FC236}">
                <a16:creationId xmlns:a16="http://schemas.microsoft.com/office/drawing/2014/main" id="{21A750A1-DF82-0D43-86A3-842D65CF9293}"/>
              </a:ext>
            </a:extLst>
          </xdr:cNvPr>
          <xdr:cNvSpPr/>
        </xdr:nvSpPr>
        <xdr:spPr>
          <a:xfrm>
            <a:off x="228600" y="6584880"/>
            <a:ext cx="1634113" cy="289170"/>
          </a:xfrm>
          <a:prstGeom prst="round2Diag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44">
            <a:extLst>
              <a:ext uri="{FF2B5EF4-FFF2-40B4-BE49-F238E27FC236}">
                <a16:creationId xmlns:a16="http://schemas.microsoft.com/office/drawing/2014/main" id="{EA4FBA31-8E0B-460A-2310-3005000B7185}"/>
              </a:ext>
            </a:extLst>
          </xdr:cNvPr>
          <xdr:cNvSpPr txBox="1"/>
        </xdr:nvSpPr>
        <xdr:spPr>
          <a:xfrm>
            <a:off x="544285" y="6601209"/>
            <a:ext cx="1075423" cy="255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solidFill>
                <a:latin typeface="Arial Rounded MT Bold" panose="020F0704030504030204" pitchFamily="34" charset="77"/>
              </a:rPr>
              <a:t>LEFT STOCK</a:t>
            </a:r>
          </a:p>
        </xdr:txBody>
      </xdr:sp>
    </xdr:grpSp>
    <xdr:clientData/>
  </xdr:twoCellAnchor>
  <xdr:twoCellAnchor>
    <xdr:from>
      <xdr:col>12</xdr:col>
      <xdr:colOff>27475</xdr:colOff>
      <xdr:row>34</xdr:row>
      <xdr:rowOff>173099</xdr:rowOff>
    </xdr:from>
    <xdr:to>
      <xdr:col>20</xdr:col>
      <xdr:colOff>208766</xdr:colOff>
      <xdr:row>51</xdr:row>
      <xdr:rowOff>84666</xdr:rowOff>
    </xdr:to>
    <xdr:sp macro="" textlink="">
      <xdr:nvSpPr>
        <xdr:cNvPr id="32" name="Rectangle: Rounded Corners 13">
          <a:extLst>
            <a:ext uri="{FF2B5EF4-FFF2-40B4-BE49-F238E27FC236}">
              <a16:creationId xmlns:a16="http://schemas.microsoft.com/office/drawing/2014/main" id="{E373CDE8-56E6-8346-98D4-C0D3A6D92C30}"/>
            </a:ext>
          </a:extLst>
        </xdr:cNvPr>
        <xdr:cNvSpPr/>
      </xdr:nvSpPr>
      <xdr:spPr>
        <a:xfrm>
          <a:off x="9839530" y="6679674"/>
          <a:ext cx="6722661" cy="316485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558800</xdr:colOff>
      <xdr:row>36</xdr:row>
      <xdr:rowOff>16933</xdr:rowOff>
    </xdr:from>
    <xdr:to>
      <xdr:col>18</xdr:col>
      <xdr:colOff>321733</xdr:colOff>
      <xdr:row>44</xdr:row>
      <xdr:rowOff>67733</xdr:rowOff>
    </xdr:to>
    <xdr:sp macro="" textlink="">
      <xdr:nvSpPr>
        <xdr:cNvPr id="2307" name="TextBox 7">
          <a:extLst>
            <a:ext uri="{FF2B5EF4-FFF2-40B4-BE49-F238E27FC236}">
              <a16:creationId xmlns:a16="http://schemas.microsoft.com/office/drawing/2014/main" id="{FC0F003C-E641-6954-6B21-43E933E1079E}"/>
            </a:ext>
          </a:extLst>
        </xdr:cNvPr>
        <xdr:cNvSpPr txBox="1"/>
      </xdr:nvSpPr>
      <xdr:spPr>
        <a:xfrm>
          <a:off x="12175067" y="6722533"/>
          <a:ext cx="3081866" cy="1540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latin typeface="Congenial" panose="02000503040000020004" pitchFamily="2" charset="0"/>
            </a:rPr>
            <a:t>NO.OF STOCK SOLD</a:t>
          </a:r>
        </a:p>
      </xdr:txBody>
    </xdr:sp>
    <xdr:clientData/>
  </xdr:twoCellAnchor>
  <xdr:oneCellAnchor>
    <xdr:from>
      <xdr:col>13</xdr:col>
      <xdr:colOff>596747</xdr:colOff>
      <xdr:row>14</xdr:row>
      <xdr:rowOff>15302</xdr:rowOff>
    </xdr:from>
    <xdr:ext cx="184731" cy="264560"/>
    <xdr:sp macro="" textlink="">
      <xdr:nvSpPr>
        <xdr:cNvPr id="9" name="TextBox 8">
          <a:extLst>
            <a:ext uri="{FF2B5EF4-FFF2-40B4-BE49-F238E27FC236}">
              <a16:creationId xmlns:a16="http://schemas.microsoft.com/office/drawing/2014/main" id="{29884BBA-0D25-EBF4-3AEA-45251BCBFDBF}"/>
            </a:ext>
          </a:extLst>
        </xdr:cNvPr>
        <xdr:cNvSpPr txBox="1"/>
      </xdr:nvSpPr>
      <xdr:spPr>
        <a:xfrm>
          <a:off x="11338193" y="25859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326238</xdr:colOff>
      <xdr:row>8</xdr:row>
      <xdr:rowOff>33867</xdr:rowOff>
    </xdr:from>
    <xdr:to>
      <xdr:col>11</xdr:col>
      <xdr:colOff>15679</xdr:colOff>
      <xdr:row>33</xdr:row>
      <xdr:rowOff>33868</xdr:rowOff>
    </xdr:to>
    <xdr:sp macro="" textlink="">
      <xdr:nvSpPr>
        <xdr:cNvPr id="2218" name="Rectangle: Rounded Corners 13">
          <a:extLst>
            <a:ext uri="{FF2B5EF4-FFF2-40B4-BE49-F238E27FC236}">
              <a16:creationId xmlns:a16="http://schemas.microsoft.com/office/drawing/2014/main" id="{5C423C93-12C6-5640-9954-80F5811FBEA1}"/>
            </a:ext>
          </a:extLst>
        </xdr:cNvPr>
        <xdr:cNvSpPr/>
      </xdr:nvSpPr>
      <xdr:spPr>
        <a:xfrm>
          <a:off x="2815438" y="1524000"/>
          <a:ext cx="6327308" cy="4656668"/>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389467</xdr:colOff>
      <xdr:row>10</xdr:row>
      <xdr:rowOff>33867</xdr:rowOff>
    </xdr:from>
    <xdr:to>
      <xdr:col>20</xdr:col>
      <xdr:colOff>806528</xdr:colOff>
      <xdr:row>24</xdr:row>
      <xdr:rowOff>142993</xdr:rowOff>
    </xdr:to>
    <xdr:graphicFrame macro="">
      <xdr:nvGraphicFramePr>
        <xdr:cNvPr id="2274" name="Chart 1">
          <a:extLst>
            <a:ext uri="{FF2B5EF4-FFF2-40B4-BE49-F238E27FC236}">
              <a16:creationId xmlns:a16="http://schemas.microsoft.com/office/drawing/2014/main" id="{075DB532-0E23-264C-932A-480A11560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196966</xdr:colOff>
      <xdr:row>9</xdr:row>
      <xdr:rowOff>156568</xdr:rowOff>
    </xdr:from>
    <xdr:ext cx="1848776" cy="291362"/>
    <xdr:sp macro="" textlink="">
      <xdr:nvSpPr>
        <xdr:cNvPr id="10" name="TextBox 6">
          <a:extLst>
            <a:ext uri="{FF2B5EF4-FFF2-40B4-BE49-F238E27FC236}">
              <a16:creationId xmlns:a16="http://schemas.microsoft.com/office/drawing/2014/main" id="{FCD51EF7-1160-9850-06F5-08F2854082B7}"/>
            </a:ext>
          </a:extLst>
        </xdr:cNvPr>
        <xdr:cNvSpPr txBox="1"/>
      </xdr:nvSpPr>
      <xdr:spPr>
        <a:xfrm>
          <a:off x="10058142" y="1904686"/>
          <a:ext cx="1848776" cy="291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latin typeface="Congenial" panose="02000503040000020004" pitchFamily="2" charset="0"/>
            </a:rPr>
            <a:t>TOP 5 PRODUCTS</a:t>
          </a:r>
        </a:p>
      </xdr:txBody>
    </xdr:sp>
    <xdr:clientData/>
  </xdr:oneCellAnchor>
  <xdr:twoCellAnchor>
    <xdr:from>
      <xdr:col>3</xdr:col>
      <xdr:colOff>636059</xdr:colOff>
      <xdr:row>12</xdr:row>
      <xdr:rowOff>32612</xdr:rowOff>
    </xdr:from>
    <xdr:to>
      <xdr:col>10</xdr:col>
      <xdr:colOff>365811</xdr:colOff>
      <xdr:row>34</xdr:row>
      <xdr:rowOff>118532</xdr:rowOff>
    </xdr:to>
    <xdr:graphicFrame macro="">
      <xdr:nvGraphicFramePr>
        <xdr:cNvPr id="2220" name="Chart 312">
          <a:extLst>
            <a:ext uri="{FF2B5EF4-FFF2-40B4-BE49-F238E27FC236}">
              <a16:creationId xmlns:a16="http://schemas.microsoft.com/office/drawing/2014/main" id="{998CF86A-EFC7-4B3C-9BE6-4E3580D8422B}"/>
            </a:ext>
            <a:ext uri="{147F2762-F138-4A5C-976F-8EAC2B608ADB}">
              <a16:predDERef xmlns:a16="http://schemas.microsoft.com/office/drawing/2014/main" pred="{969215F4-2C82-71D6-C55F-FFCB5517F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6</xdr:col>
      <xdr:colOff>25399</xdr:colOff>
      <xdr:row>9</xdr:row>
      <xdr:rowOff>58208</xdr:rowOff>
    </xdr:from>
    <xdr:ext cx="2218267" cy="562295"/>
    <xdr:sp macro="" textlink="">
      <xdr:nvSpPr>
        <xdr:cNvPr id="2221" name="TextBox 17">
          <a:extLst>
            <a:ext uri="{FF2B5EF4-FFF2-40B4-BE49-F238E27FC236}">
              <a16:creationId xmlns:a16="http://schemas.microsoft.com/office/drawing/2014/main" id="{05EA3EAA-F956-9D13-A230-AA9D6666766D}"/>
            </a:ext>
            <a:ext uri="{147F2762-F138-4A5C-976F-8EAC2B608ADB}">
              <a16:predDERef xmlns:a16="http://schemas.microsoft.com/office/drawing/2014/main" pred="{998CF86A-EFC7-4B3C-9BE6-4E3580D8422B}"/>
            </a:ext>
          </a:extLst>
        </xdr:cNvPr>
        <xdr:cNvSpPr txBox="1"/>
      </xdr:nvSpPr>
      <xdr:spPr>
        <a:xfrm>
          <a:off x="4368799" y="1772708"/>
          <a:ext cx="2218267" cy="562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bg1"/>
              </a:solidFill>
              <a:latin typeface="Congenial" panose="02000503040000020004" pitchFamily="2" charset="0"/>
            </a:rPr>
            <a:t>NEAR EXPIRY</a:t>
          </a:r>
        </a:p>
      </xdr:txBody>
    </xdr:sp>
    <xdr:clientData/>
  </xdr:oneCellAnchor>
  <xdr:twoCellAnchor>
    <xdr:from>
      <xdr:col>3</xdr:col>
      <xdr:colOff>237066</xdr:colOff>
      <xdr:row>37</xdr:row>
      <xdr:rowOff>16933</xdr:rowOff>
    </xdr:from>
    <xdr:to>
      <xdr:col>11</xdr:col>
      <xdr:colOff>592666</xdr:colOff>
      <xdr:row>51</xdr:row>
      <xdr:rowOff>1168</xdr:rowOff>
    </xdr:to>
    <xdr:graphicFrame macro="">
      <xdr:nvGraphicFramePr>
        <xdr:cNvPr id="2298" name="Chart 19">
          <a:extLst>
            <a:ext uri="{FF2B5EF4-FFF2-40B4-BE49-F238E27FC236}">
              <a16:creationId xmlns:a16="http://schemas.microsoft.com/office/drawing/2014/main" id="{20277784-08FC-3B4D-A956-D94A4ECAD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32012</xdr:colOff>
      <xdr:row>36</xdr:row>
      <xdr:rowOff>86986</xdr:rowOff>
    </xdr:from>
    <xdr:to>
      <xdr:col>20</xdr:col>
      <xdr:colOff>382739</xdr:colOff>
      <xdr:row>51</xdr:row>
      <xdr:rowOff>31083</xdr:rowOff>
    </xdr:to>
    <xdr:graphicFrame macro="">
      <xdr:nvGraphicFramePr>
        <xdr:cNvPr id="35" name="Chart 14">
          <a:extLst>
            <a:ext uri="{FF2B5EF4-FFF2-40B4-BE49-F238E27FC236}">
              <a16:creationId xmlns:a16="http://schemas.microsoft.com/office/drawing/2014/main" id="{7E361716-9351-A242-9A7B-43A67F16D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372532</xdr:colOff>
      <xdr:row>8</xdr:row>
      <xdr:rowOff>67734</xdr:rowOff>
    </xdr:from>
    <xdr:to>
      <xdr:col>15</xdr:col>
      <xdr:colOff>734458</xdr:colOff>
      <xdr:row>33</xdr:row>
      <xdr:rowOff>67735</xdr:rowOff>
    </xdr:to>
    <xdr:sp macro="" textlink="">
      <xdr:nvSpPr>
        <xdr:cNvPr id="40" name="Rectangle: Rounded Corners 13">
          <a:extLst>
            <a:ext uri="{FF2B5EF4-FFF2-40B4-BE49-F238E27FC236}">
              <a16:creationId xmlns:a16="http://schemas.microsoft.com/office/drawing/2014/main" id="{104E92E6-FD5B-8942-A13D-E34C51E3D2CB}"/>
            </a:ext>
          </a:extLst>
        </xdr:cNvPr>
        <xdr:cNvSpPr/>
      </xdr:nvSpPr>
      <xdr:spPr>
        <a:xfrm>
          <a:off x="9461448" y="1536650"/>
          <a:ext cx="3666986" cy="4590362"/>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12</xdr:row>
      <xdr:rowOff>184354</xdr:rowOff>
    </xdr:from>
    <xdr:to>
      <xdr:col>15</xdr:col>
      <xdr:colOff>397831</xdr:colOff>
      <xdr:row>15</xdr:row>
      <xdr:rowOff>15032</xdr:rowOff>
    </xdr:to>
    <xdr:grpSp>
      <xdr:nvGrpSpPr>
        <xdr:cNvPr id="2246" name="Group 15">
          <a:extLst>
            <a:ext uri="{FF2B5EF4-FFF2-40B4-BE49-F238E27FC236}">
              <a16:creationId xmlns:a16="http://schemas.microsoft.com/office/drawing/2014/main" id="{5875FE47-F928-5597-714F-7981BCE42C32}"/>
            </a:ext>
          </a:extLst>
        </xdr:cNvPr>
        <xdr:cNvGrpSpPr/>
      </xdr:nvGrpSpPr>
      <xdr:grpSpPr>
        <a:xfrm>
          <a:off x="8931349" y="2789331"/>
          <a:ext cx="2630668" cy="521794"/>
          <a:chOff x="9683778" y="2466234"/>
          <a:chExt cx="2572542" cy="382740"/>
        </a:xfrm>
        <a:effectLst>
          <a:outerShdw blurRad="50800" dist="38100" dir="5400000" algn="t" rotWithShape="0">
            <a:schemeClr val="bg1">
              <a:alpha val="40000"/>
            </a:schemeClr>
          </a:outerShdw>
        </a:effectLst>
      </xdr:grpSpPr>
      <xdr:sp macro="" textlink="">
        <xdr:nvSpPr>
          <xdr:cNvPr id="2247" name="Pentagon 29">
            <a:extLst>
              <a:ext uri="{FF2B5EF4-FFF2-40B4-BE49-F238E27FC236}">
                <a16:creationId xmlns:a16="http://schemas.microsoft.com/office/drawing/2014/main" id="{49FBEDE8-A9A9-0FB9-D89A-3D994DDBC51E}"/>
              </a:ext>
            </a:extLst>
          </xdr:cNvPr>
          <xdr:cNvSpPr/>
        </xdr:nvSpPr>
        <xdr:spPr>
          <a:xfrm>
            <a:off x="9683778" y="2466234"/>
            <a:ext cx="2572542"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79">
        <xdr:nvSpPr>
          <xdr:cNvPr id="2248" name="TextBox 9">
            <a:extLst>
              <a:ext uri="{FF2B5EF4-FFF2-40B4-BE49-F238E27FC236}">
                <a16:creationId xmlns:a16="http://schemas.microsoft.com/office/drawing/2014/main" id="{969215F4-2C82-71D6-C55F-FFCB5517F0DE}"/>
              </a:ext>
            </a:extLst>
          </xdr:cNvPr>
          <xdr:cNvSpPr txBox="1"/>
        </xdr:nvSpPr>
        <xdr:spPr>
          <a:xfrm>
            <a:off x="9949918" y="2529503"/>
            <a:ext cx="1748546" cy="228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3C7750C-EFD2-C742-8751-E37766081D22}" type="TxLink">
              <a:rPr lang="en-US" sz="1400" b="1" i="0" u="none" strike="noStrike">
                <a:solidFill>
                  <a:schemeClr val="bg1"/>
                </a:solidFill>
                <a:latin typeface="Hoefler Text Black" panose="02030602050506020203" pitchFamily="18" charset="77"/>
              </a:rPr>
              <a:pPr/>
              <a:t>Maggie Noodles 250g</a:t>
            </a:fld>
            <a:endParaRPr lang="en-US" sz="1400" b="1" i="0">
              <a:solidFill>
                <a:schemeClr val="bg1"/>
              </a:solidFill>
              <a:latin typeface="Hoefler Text Black" panose="02030602050506020203" pitchFamily="18" charset="77"/>
            </a:endParaRPr>
          </a:p>
        </xdr:txBody>
      </xdr:sp>
    </xdr:grpSp>
    <xdr:clientData/>
  </xdr:twoCellAnchor>
  <xdr:twoCellAnchor>
    <xdr:from>
      <xdr:col>12</xdr:col>
      <xdr:colOff>3801</xdr:colOff>
      <xdr:row>16</xdr:row>
      <xdr:rowOff>169559</xdr:rowOff>
    </xdr:from>
    <xdr:to>
      <xdr:col>15</xdr:col>
      <xdr:colOff>428434</xdr:colOff>
      <xdr:row>18</xdr:row>
      <xdr:rowOff>177656</xdr:rowOff>
    </xdr:to>
    <xdr:grpSp>
      <xdr:nvGrpSpPr>
        <xdr:cNvPr id="2240" name="Group 16">
          <a:extLst>
            <a:ext uri="{FF2B5EF4-FFF2-40B4-BE49-F238E27FC236}">
              <a16:creationId xmlns:a16="http://schemas.microsoft.com/office/drawing/2014/main" id="{4FBAF114-5A7E-D600-A54F-A2C0D21A555D}"/>
            </a:ext>
          </a:extLst>
        </xdr:cNvPr>
        <xdr:cNvGrpSpPr/>
      </xdr:nvGrpSpPr>
      <xdr:grpSpPr>
        <a:xfrm>
          <a:off x="8935150" y="3696024"/>
          <a:ext cx="2657470" cy="468841"/>
          <a:chOff x="9666737" y="3214317"/>
          <a:chExt cx="2598330" cy="382740"/>
        </a:xfrm>
        <a:effectLst>
          <a:outerShdw blurRad="50800" dist="38100" dir="5400000" algn="t" rotWithShape="0">
            <a:schemeClr val="bg1">
              <a:alpha val="40000"/>
            </a:schemeClr>
          </a:outerShdw>
        </a:effectLst>
      </xdr:grpSpPr>
      <xdr:sp macro="" textlink="">
        <xdr:nvSpPr>
          <xdr:cNvPr id="2241" name="Pentagon 51">
            <a:extLst>
              <a:ext uri="{FF2B5EF4-FFF2-40B4-BE49-F238E27FC236}">
                <a16:creationId xmlns:a16="http://schemas.microsoft.com/office/drawing/2014/main" id="{A6D1ADB8-7350-294C-992B-34AAED068354}"/>
              </a:ext>
            </a:extLst>
          </xdr:cNvPr>
          <xdr:cNvSpPr/>
        </xdr:nvSpPr>
        <xdr:spPr>
          <a:xfrm>
            <a:off x="9666737" y="3214317"/>
            <a:ext cx="2598330"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0">
        <xdr:nvSpPr>
          <xdr:cNvPr id="2242" name="TextBox 52">
            <a:extLst>
              <a:ext uri="{FF2B5EF4-FFF2-40B4-BE49-F238E27FC236}">
                <a16:creationId xmlns:a16="http://schemas.microsoft.com/office/drawing/2014/main" id="{3935F299-5791-C947-4577-D7350021AF62}"/>
              </a:ext>
            </a:extLst>
          </xdr:cNvPr>
          <xdr:cNvSpPr txBox="1"/>
        </xdr:nvSpPr>
        <xdr:spPr>
          <a:xfrm>
            <a:off x="10155703" y="3298111"/>
            <a:ext cx="1213489" cy="254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5F71005-4868-4A4F-9B67-9ADC75FFDE37}" type="TxLink">
              <a:rPr lang="en-US" sz="1400" b="1" i="0" u="none" strike="noStrike">
                <a:solidFill>
                  <a:schemeClr val="bg1"/>
                </a:solidFill>
                <a:latin typeface="Hoefler Text Black" panose="02030602050506020203" pitchFamily="18" charset="77"/>
              </a:rPr>
              <a:pPr/>
              <a:t>Nestle Milk 1L</a:t>
            </a:fld>
            <a:endParaRPr lang="en-US" sz="1400" b="1" i="0">
              <a:solidFill>
                <a:schemeClr val="bg1"/>
              </a:solidFill>
              <a:latin typeface="Hoefler Text Black" panose="02030602050506020203" pitchFamily="18" charset="77"/>
            </a:endParaRPr>
          </a:p>
        </xdr:txBody>
      </xdr:sp>
    </xdr:grpSp>
    <xdr:clientData/>
  </xdr:twoCellAnchor>
  <xdr:twoCellAnchor>
    <xdr:from>
      <xdr:col>12</xdr:col>
      <xdr:colOff>3467</xdr:colOff>
      <xdr:row>21</xdr:row>
      <xdr:rowOff>34103</xdr:rowOff>
    </xdr:from>
    <xdr:to>
      <xdr:col>15</xdr:col>
      <xdr:colOff>489637</xdr:colOff>
      <xdr:row>23</xdr:row>
      <xdr:rowOff>33739</xdr:rowOff>
    </xdr:to>
    <xdr:grpSp>
      <xdr:nvGrpSpPr>
        <xdr:cNvPr id="49" name="Group 17">
          <a:extLst>
            <a:ext uri="{FF2B5EF4-FFF2-40B4-BE49-F238E27FC236}">
              <a16:creationId xmlns:a16="http://schemas.microsoft.com/office/drawing/2014/main" id="{544F71F4-E482-0910-4850-4316141892DB}"/>
            </a:ext>
          </a:extLst>
        </xdr:cNvPr>
        <xdr:cNvGrpSpPr/>
      </xdr:nvGrpSpPr>
      <xdr:grpSpPr>
        <a:xfrm>
          <a:off x="8934816" y="4712429"/>
          <a:ext cx="2719007" cy="460380"/>
          <a:chOff x="9681678" y="4035700"/>
          <a:chExt cx="2628212" cy="382740"/>
        </a:xfrm>
        <a:effectLst>
          <a:outerShdw blurRad="50800" dist="38100" dir="5400000" algn="t" rotWithShape="0">
            <a:schemeClr val="bg1">
              <a:alpha val="40000"/>
            </a:schemeClr>
          </a:outerShdw>
        </a:effectLst>
      </xdr:grpSpPr>
      <xdr:sp macro="" textlink="">
        <xdr:nvSpPr>
          <xdr:cNvPr id="50" name="Pentagon 42">
            <a:extLst>
              <a:ext uri="{FF2B5EF4-FFF2-40B4-BE49-F238E27FC236}">
                <a16:creationId xmlns:a16="http://schemas.microsoft.com/office/drawing/2014/main" id="{90B6204E-1957-0446-A1D7-10C8A2CB16D4}"/>
              </a:ext>
            </a:extLst>
          </xdr:cNvPr>
          <xdr:cNvSpPr/>
        </xdr:nvSpPr>
        <xdr:spPr>
          <a:xfrm>
            <a:off x="9681678" y="4035700"/>
            <a:ext cx="2628212" cy="382740"/>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1">
        <xdr:nvSpPr>
          <xdr:cNvPr id="51" name="TextBox 54">
            <a:extLst>
              <a:ext uri="{FF2B5EF4-FFF2-40B4-BE49-F238E27FC236}">
                <a16:creationId xmlns:a16="http://schemas.microsoft.com/office/drawing/2014/main" id="{083712CD-D837-69F5-C65D-2DA0A7F932C8}"/>
              </a:ext>
            </a:extLst>
          </xdr:cNvPr>
          <xdr:cNvSpPr txBox="1"/>
        </xdr:nvSpPr>
        <xdr:spPr>
          <a:xfrm>
            <a:off x="10200526" y="4108414"/>
            <a:ext cx="1193405" cy="258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101A955-7D3D-2B4D-BA7D-7EEC7C893917}" type="TxLink">
              <a:rPr lang="en-US" sz="1400" b="1" i="0" u="none" strike="noStrike">
                <a:solidFill>
                  <a:schemeClr val="bg1"/>
                </a:solidFill>
                <a:latin typeface="Hoefler Text Black" panose="02030602050506020203" pitchFamily="18" charset="77"/>
              </a:rPr>
              <a:pPr/>
              <a:t>iD Curd Pouch</a:t>
            </a:fld>
            <a:endParaRPr lang="en-US" sz="1400" b="1" i="0">
              <a:solidFill>
                <a:schemeClr val="bg1"/>
              </a:solidFill>
              <a:latin typeface="Hoefler Text Black" panose="02030602050506020203" pitchFamily="18" charset="77"/>
            </a:endParaRPr>
          </a:p>
        </xdr:txBody>
      </xdr:sp>
    </xdr:grpSp>
    <xdr:clientData/>
  </xdr:twoCellAnchor>
  <xdr:twoCellAnchor>
    <xdr:from>
      <xdr:col>11</xdr:col>
      <xdr:colOff>717176</xdr:colOff>
      <xdr:row>25</xdr:row>
      <xdr:rowOff>33878</xdr:rowOff>
    </xdr:from>
    <xdr:to>
      <xdr:col>15</xdr:col>
      <xdr:colOff>474337</xdr:colOff>
      <xdr:row>27</xdr:row>
      <xdr:rowOff>33562</xdr:rowOff>
    </xdr:to>
    <xdr:grpSp>
      <xdr:nvGrpSpPr>
        <xdr:cNvPr id="61" name="Group 18">
          <a:extLst>
            <a:ext uri="{FF2B5EF4-FFF2-40B4-BE49-F238E27FC236}">
              <a16:creationId xmlns:a16="http://schemas.microsoft.com/office/drawing/2014/main" id="{708FE9B8-4F0A-AD93-B94F-6ACD5C8467AA}"/>
            </a:ext>
          </a:extLst>
        </xdr:cNvPr>
        <xdr:cNvGrpSpPr/>
      </xdr:nvGrpSpPr>
      <xdr:grpSpPr>
        <a:xfrm>
          <a:off x="8904246" y="5633692"/>
          <a:ext cx="2734277" cy="460428"/>
          <a:chOff x="9711560" y="4818113"/>
          <a:chExt cx="2673037" cy="382739"/>
        </a:xfrm>
        <a:effectLst>
          <a:outerShdw blurRad="50800" dist="38100" dir="5400000" algn="t" rotWithShape="0">
            <a:schemeClr val="bg1">
              <a:alpha val="40000"/>
            </a:schemeClr>
          </a:outerShdw>
        </a:effectLst>
      </xdr:grpSpPr>
      <xdr:sp macro="" textlink="">
        <xdr:nvSpPr>
          <xdr:cNvPr id="62" name="Pentagon 40">
            <a:extLst>
              <a:ext uri="{FF2B5EF4-FFF2-40B4-BE49-F238E27FC236}">
                <a16:creationId xmlns:a16="http://schemas.microsoft.com/office/drawing/2014/main" id="{D889666C-8D21-944F-B955-068C5CD87D3E}"/>
              </a:ext>
            </a:extLst>
          </xdr:cNvPr>
          <xdr:cNvSpPr/>
        </xdr:nvSpPr>
        <xdr:spPr>
          <a:xfrm>
            <a:off x="9711560" y="4818113"/>
            <a:ext cx="2673037" cy="382739"/>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2">
        <xdr:nvSpPr>
          <xdr:cNvPr id="63" name="TextBox 55">
            <a:extLst>
              <a:ext uri="{FF2B5EF4-FFF2-40B4-BE49-F238E27FC236}">
                <a16:creationId xmlns:a16="http://schemas.microsoft.com/office/drawing/2014/main" id="{2E7979F6-3F01-94EE-A071-2D9DB625830A}"/>
              </a:ext>
            </a:extLst>
          </xdr:cNvPr>
          <xdr:cNvSpPr txBox="1"/>
        </xdr:nvSpPr>
        <xdr:spPr>
          <a:xfrm>
            <a:off x="9991350" y="4888836"/>
            <a:ext cx="1696605" cy="258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B1B21E0-23B0-044B-BBF3-08B314F4FAF7}" type="TxLink">
              <a:rPr lang="en-US" sz="1400" b="1" i="0" u="none" strike="noStrike">
                <a:solidFill>
                  <a:schemeClr val="bg1"/>
                </a:solidFill>
                <a:latin typeface="Hoefler Text Black" panose="02030602050506020203" pitchFamily="18" charset="77"/>
              </a:rPr>
              <a:pPr/>
              <a:t>Godrej Air Freshener</a:t>
            </a:fld>
            <a:endParaRPr lang="en-US" sz="1400" b="1" i="0">
              <a:solidFill>
                <a:schemeClr val="bg1"/>
              </a:solidFill>
              <a:latin typeface="Hoefler Text Black" panose="02030602050506020203" pitchFamily="18" charset="77"/>
            </a:endParaRPr>
          </a:p>
        </xdr:txBody>
      </xdr:sp>
    </xdr:grpSp>
    <xdr:clientData/>
  </xdr:twoCellAnchor>
  <xdr:twoCellAnchor>
    <xdr:from>
      <xdr:col>11</xdr:col>
      <xdr:colOff>717175</xdr:colOff>
      <xdr:row>29</xdr:row>
      <xdr:rowOff>16916</xdr:rowOff>
    </xdr:from>
    <xdr:to>
      <xdr:col>15</xdr:col>
      <xdr:colOff>489638</xdr:colOff>
      <xdr:row>31</xdr:row>
      <xdr:rowOff>81936</xdr:rowOff>
    </xdr:to>
    <xdr:grpSp>
      <xdr:nvGrpSpPr>
        <xdr:cNvPr id="42" name="Group 19">
          <a:extLst>
            <a:ext uri="{FF2B5EF4-FFF2-40B4-BE49-F238E27FC236}">
              <a16:creationId xmlns:a16="http://schemas.microsoft.com/office/drawing/2014/main" id="{959AC2B3-A40D-59B5-52B2-4758570E2634}"/>
            </a:ext>
          </a:extLst>
        </xdr:cNvPr>
        <xdr:cNvGrpSpPr/>
      </xdr:nvGrpSpPr>
      <xdr:grpSpPr>
        <a:xfrm>
          <a:off x="8904245" y="6538218"/>
          <a:ext cx="2749579" cy="525765"/>
          <a:chOff x="9711560" y="5566660"/>
          <a:chExt cx="3037965" cy="365091"/>
        </a:xfrm>
        <a:effectLst>
          <a:outerShdw blurRad="50800" dist="38100" dir="5400000" algn="t" rotWithShape="0">
            <a:schemeClr val="bg1">
              <a:alpha val="40000"/>
            </a:schemeClr>
          </a:outerShdw>
        </a:effectLst>
      </xdr:grpSpPr>
      <xdr:sp macro="" textlink="">
        <xdr:nvSpPr>
          <xdr:cNvPr id="44" name="Pentagon 30">
            <a:extLst>
              <a:ext uri="{FF2B5EF4-FFF2-40B4-BE49-F238E27FC236}">
                <a16:creationId xmlns:a16="http://schemas.microsoft.com/office/drawing/2014/main" id="{D9657595-9A67-2F45-BFF6-64610340E8A9}"/>
              </a:ext>
            </a:extLst>
          </xdr:cNvPr>
          <xdr:cNvSpPr/>
        </xdr:nvSpPr>
        <xdr:spPr>
          <a:xfrm>
            <a:off x="9711560" y="5566660"/>
            <a:ext cx="3037965" cy="365091"/>
          </a:xfrm>
          <a:prstGeom prst="homePlate">
            <a:avLst/>
          </a:prstGeom>
          <a:solidFill>
            <a:srgbClr val="FF7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P83">
        <xdr:nvSpPr>
          <xdr:cNvPr id="45" name="TextBox 60">
            <a:extLst>
              <a:ext uri="{FF2B5EF4-FFF2-40B4-BE49-F238E27FC236}">
                <a16:creationId xmlns:a16="http://schemas.microsoft.com/office/drawing/2014/main" id="{4CAD62F0-B25A-8B9A-3FEA-1B040797DFDE}"/>
              </a:ext>
            </a:extLst>
          </xdr:cNvPr>
          <xdr:cNvSpPr txBox="1"/>
        </xdr:nvSpPr>
        <xdr:spPr>
          <a:xfrm>
            <a:off x="9749850" y="5628603"/>
            <a:ext cx="2734273" cy="216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D1283F9-F890-6048-8301-E7ADD6372BF1}" type="TxLink">
              <a:rPr lang="en-US" sz="1400" b="1" i="0" u="none" strike="noStrike">
                <a:solidFill>
                  <a:schemeClr val="bg1"/>
                </a:solidFill>
                <a:latin typeface="Hoefler Text Black" panose="02030602050506020203" pitchFamily="18" charset="77"/>
              </a:rPr>
              <a:pPr/>
              <a:t>Kwality Walls Ice Cream 500ml</a:t>
            </a:fld>
            <a:endParaRPr lang="en-US" sz="1400" b="1" i="0">
              <a:solidFill>
                <a:schemeClr val="bg1"/>
              </a:solidFill>
              <a:latin typeface="Hoefler Text Black" panose="02030602050506020203" pitchFamily="18" charset="77"/>
            </a:endParaRPr>
          </a:p>
        </xdr:txBody>
      </xdr:sp>
    </xdr:grpSp>
    <xdr:clientData/>
  </xdr:twoCellAnchor>
  <xdr:twoCellAnchor editAs="oneCell">
    <xdr:from>
      <xdr:col>20</xdr:col>
      <xdr:colOff>780572</xdr:colOff>
      <xdr:row>36</xdr:row>
      <xdr:rowOff>208936</xdr:rowOff>
    </xdr:from>
    <xdr:to>
      <xdr:col>21</xdr:col>
      <xdr:colOff>2335160</xdr:colOff>
      <xdr:row>49</xdr:row>
      <xdr:rowOff>48929</xdr:rowOff>
    </xdr:to>
    <mc:AlternateContent xmlns:mc="http://schemas.openxmlformats.org/markup-compatibility/2006" xmlns:a14="http://schemas.microsoft.com/office/drawing/2010/main">
      <mc:Choice Requires="a14">
        <xdr:graphicFrame macro="">
          <xdr:nvGraphicFramePr>
            <xdr:cNvPr id="2328" name="CATEGORY_OF_PRODUCT 1">
              <a:extLst>
                <a:ext uri="{FF2B5EF4-FFF2-40B4-BE49-F238E27FC236}">
                  <a16:creationId xmlns:a16="http://schemas.microsoft.com/office/drawing/2014/main" id="{E4946F8C-C6E4-CC47-8976-044A6ECA6A0B}"/>
                </a:ext>
                <a:ext uri="{147F2762-F138-4A5C-976F-8EAC2B608ADB}">
                  <a16:predDERef xmlns:a16="http://schemas.microsoft.com/office/drawing/2014/main" pred="{4FFBBB21-0C30-43AA-87D3-83151C5AACA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_OF_PRODUCT 1"/>
            </a:graphicData>
          </a:graphic>
        </xdr:graphicFrame>
      </mc:Choice>
      <mc:Fallback xmlns="">
        <xdr:sp macro="" textlink="">
          <xdr:nvSpPr>
            <xdr:cNvPr id="0" name=""/>
            <xdr:cNvSpPr>
              <a:spLocks noTextEdit="1"/>
            </xdr:cNvSpPr>
          </xdr:nvSpPr>
          <xdr:spPr>
            <a:xfrm>
              <a:off x="17310731" y="8090999"/>
              <a:ext cx="3328556" cy="2763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270934</xdr:colOff>
      <xdr:row>8</xdr:row>
      <xdr:rowOff>101599</xdr:rowOff>
    </xdr:from>
    <xdr:to>
      <xdr:col>21</xdr:col>
      <xdr:colOff>2116666</xdr:colOff>
      <xdr:row>33</xdr:row>
      <xdr:rowOff>50799</xdr:rowOff>
    </xdr:to>
    <xdr:sp macro="" textlink="">
      <xdr:nvSpPr>
        <xdr:cNvPr id="2249" name="Rectangle: Rounded Corners 13">
          <a:extLst>
            <a:ext uri="{FF2B5EF4-FFF2-40B4-BE49-F238E27FC236}">
              <a16:creationId xmlns:a16="http://schemas.microsoft.com/office/drawing/2014/main" id="{82E0403F-345F-9C4D-BD5B-67838CBAAF41}"/>
            </a:ext>
          </a:extLst>
        </xdr:cNvPr>
        <xdr:cNvSpPr/>
      </xdr:nvSpPr>
      <xdr:spPr>
        <a:xfrm>
          <a:off x="13546667" y="1591732"/>
          <a:ext cx="6942666" cy="4605867"/>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457201</xdr:colOff>
      <xdr:row>12</xdr:row>
      <xdr:rowOff>84667</xdr:rowOff>
    </xdr:from>
    <xdr:to>
      <xdr:col>21</xdr:col>
      <xdr:colOff>1913467</xdr:colOff>
      <xdr:row>31</xdr:row>
      <xdr:rowOff>101599</xdr:rowOff>
    </xdr:to>
    <xdr:graphicFrame macro="">
      <xdr:nvGraphicFramePr>
        <xdr:cNvPr id="2290" name="Chart 4">
          <a:extLst>
            <a:ext uri="{FF2B5EF4-FFF2-40B4-BE49-F238E27FC236}">
              <a16:creationId xmlns:a16="http://schemas.microsoft.com/office/drawing/2014/main" id="{04D33DB3-7E60-46A0-8BD0-335D8B160962}"/>
            </a:ext>
            <a:ext uri="{147F2762-F138-4A5C-976F-8EAC2B608ADB}">
              <a16:predDERef xmlns:a16="http://schemas.microsoft.com/office/drawing/2014/main" pred="{82E0403F-345F-9C4D-BD5B-67838CBAA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152400</xdr:colOff>
      <xdr:row>10</xdr:row>
      <xdr:rowOff>16933</xdr:rowOff>
    </xdr:from>
    <xdr:ext cx="3115734" cy="596162"/>
    <xdr:sp macro="" textlink="">
      <xdr:nvSpPr>
        <xdr:cNvPr id="2321" name="TextBox 15">
          <a:extLst>
            <a:ext uri="{FF2B5EF4-FFF2-40B4-BE49-F238E27FC236}">
              <a16:creationId xmlns:a16="http://schemas.microsoft.com/office/drawing/2014/main" id="{9434B08F-FD2A-1A3A-268E-F42439A632DB}"/>
            </a:ext>
          </a:extLst>
        </xdr:cNvPr>
        <xdr:cNvSpPr txBox="1"/>
      </xdr:nvSpPr>
      <xdr:spPr>
        <a:xfrm>
          <a:off x="15917333" y="1879600"/>
          <a:ext cx="3115734" cy="596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chemeClr val="bg1"/>
              </a:solidFill>
              <a:latin typeface="Congenial" panose="02000503040000020004" pitchFamily="2" charset="0"/>
            </a:rPr>
            <a:t>PROFIT</a:t>
          </a:r>
          <a:r>
            <a:rPr lang="en-US" sz="1600" b="1" baseline="0">
              <a:solidFill>
                <a:schemeClr val="bg1"/>
              </a:solidFill>
              <a:latin typeface="Congenial" panose="02000503040000020004" pitchFamily="2" charset="0"/>
            </a:rPr>
            <a:t> BY CATEGORY</a:t>
          </a:r>
          <a:endParaRPr lang="en-US" sz="1600" b="1">
            <a:solidFill>
              <a:schemeClr val="bg1"/>
            </a:solidFill>
            <a:latin typeface="Congenial" panose="02000503040000020004" pitchFamily="2" charset="0"/>
          </a:endParaRPr>
        </a:p>
      </xdr:txBody>
    </xdr:sp>
    <xdr:clientData/>
  </xdr:oneCellAnchor>
  <xdr:twoCellAnchor>
    <xdr:from>
      <xdr:col>12</xdr:col>
      <xdr:colOff>0</xdr:colOff>
      <xdr:row>1</xdr:row>
      <xdr:rowOff>53662</xdr:rowOff>
    </xdr:from>
    <xdr:to>
      <xdr:col>18</xdr:col>
      <xdr:colOff>84667</xdr:colOff>
      <xdr:row>7</xdr:row>
      <xdr:rowOff>17887</xdr:rowOff>
    </xdr:to>
    <xdr:sp macro="" textlink="">
      <xdr:nvSpPr>
        <xdr:cNvPr id="295" name="Rectangle: Rounded Corners 13">
          <a:extLst>
            <a:ext uri="{FF2B5EF4-FFF2-40B4-BE49-F238E27FC236}">
              <a16:creationId xmlns:a16="http://schemas.microsoft.com/office/drawing/2014/main" id="{2A7FBDBE-3C13-C541-952D-5F023D0E6F13}"/>
            </a:ext>
          </a:extLst>
        </xdr:cNvPr>
        <xdr:cNvSpPr/>
      </xdr:nvSpPr>
      <xdr:spPr>
        <a:xfrm>
          <a:off x="9956800" y="239929"/>
          <a:ext cx="5063067" cy="108182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492904</xdr:colOff>
      <xdr:row>3</xdr:row>
      <xdr:rowOff>9452</xdr:rowOff>
    </xdr:from>
    <xdr:ext cx="843308" cy="434799"/>
    <xdr:sp macro="" textlink="pivot!B37">
      <xdr:nvSpPr>
        <xdr:cNvPr id="2179" name="TextBox 7">
          <a:extLst>
            <a:ext uri="{FF2B5EF4-FFF2-40B4-BE49-F238E27FC236}">
              <a16:creationId xmlns:a16="http://schemas.microsoft.com/office/drawing/2014/main" id="{431AABC5-9B84-8BA6-A211-ABE3ABB89C1E}"/>
            </a:ext>
          </a:extLst>
        </xdr:cNvPr>
        <xdr:cNvSpPr txBox="1"/>
      </xdr:nvSpPr>
      <xdr:spPr>
        <a:xfrm>
          <a:off x="13011475" y="608166"/>
          <a:ext cx="843308" cy="43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CDC7477-7009-DA4E-8516-3925960A412E}" type="TxLink">
            <a:rPr lang="en-US" sz="2400" b="0" i="0" u="none" strike="noStrike">
              <a:solidFill>
                <a:schemeClr val="bg1"/>
              </a:solidFill>
              <a:latin typeface="Copperplate Gothic Bold" panose="020E0705020206020404" pitchFamily="34" charset="77"/>
            </a:rPr>
            <a:pPr/>
            <a:t>199</a:t>
          </a:fld>
          <a:endParaRPr lang="en-US" sz="2400">
            <a:solidFill>
              <a:schemeClr val="bg1"/>
            </a:solidFill>
            <a:latin typeface="Copperplate Gothic Bold" panose="020E0705020206020404" pitchFamily="34" charset="77"/>
          </a:endParaRPr>
        </a:p>
      </xdr:txBody>
    </xdr:sp>
    <xdr:clientData/>
  </xdr:oneCellAnchor>
  <xdr:oneCellAnchor>
    <xdr:from>
      <xdr:col>12</xdr:col>
      <xdr:colOff>283657</xdr:colOff>
      <xdr:row>2</xdr:row>
      <xdr:rowOff>135198</xdr:rowOff>
    </xdr:from>
    <xdr:ext cx="2673630" cy="644944"/>
    <xdr:sp macro="" textlink="">
      <xdr:nvSpPr>
        <xdr:cNvPr id="311" name="TextBox 2">
          <a:extLst>
            <a:ext uri="{FF2B5EF4-FFF2-40B4-BE49-F238E27FC236}">
              <a16:creationId xmlns:a16="http://schemas.microsoft.com/office/drawing/2014/main" id="{D75BC329-1DC9-ADA6-3845-ADDBABE268F9}"/>
            </a:ext>
          </a:extLst>
        </xdr:cNvPr>
        <xdr:cNvSpPr txBox="1"/>
      </xdr:nvSpPr>
      <xdr:spPr>
        <a:xfrm>
          <a:off x="10298514" y="534341"/>
          <a:ext cx="2673630" cy="6449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solidFill>
                <a:schemeClr val="bg1"/>
              </a:solidFill>
              <a:latin typeface="Arial Rounded MT Bold" panose="020F0704030504030204" pitchFamily="34" charset="77"/>
            </a:rPr>
            <a:t>TOTAL </a:t>
          </a:r>
        </a:p>
        <a:p>
          <a:r>
            <a:rPr lang="en-US" sz="1600">
              <a:solidFill>
                <a:schemeClr val="bg1"/>
              </a:solidFill>
              <a:latin typeface="Arial Rounded MT Bold" panose="020F0704030504030204" pitchFamily="34" charset="77"/>
            </a:rPr>
            <a:t>INVENTORY PRODUCTS</a:t>
          </a:r>
        </a:p>
      </xdr:txBody>
    </xdr:sp>
    <xdr:clientData/>
  </xdr:oneCellAnchor>
  <xdr:twoCellAnchor>
    <xdr:from>
      <xdr:col>18</xdr:col>
      <xdr:colOff>372534</xdr:colOff>
      <xdr:row>1</xdr:row>
      <xdr:rowOff>33866</xdr:rowOff>
    </xdr:from>
    <xdr:to>
      <xdr:col>21</xdr:col>
      <xdr:colOff>1998134</xdr:colOff>
      <xdr:row>6</xdr:row>
      <xdr:rowOff>184358</xdr:rowOff>
    </xdr:to>
    <xdr:sp macro="" textlink="">
      <xdr:nvSpPr>
        <xdr:cNvPr id="299" name="Rectangle: Rounded Corners 13">
          <a:extLst>
            <a:ext uri="{FF2B5EF4-FFF2-40B4-BE49-F238E27FC236}">
              <a16:creationId xmlns:a16="http://schemas.microsoft.com/office/drawing/2014/main" id="{E97DC615-1375-9F4A-8014-115743CC456A}"/>
            </a:ext>
          </a:extLst>
        </xdr:cNvPr>
        <xdr:cNvSpPr/>
      </xdr:nvSpPr>
      <xdr:spPr>
        <a:xfrm>
          <a:off x="15307734" y="220133"/>
          <a:ext cx="5063067" cy="1081825"/>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xdr:col>
      <xdr:colOff>743857</xdr:colOff>
      <xdr:row>2</xdr:row>
      <xdr:rowOff>54429</xdr:rowOff>
    </xdr:from>
    <xdr:to>
      <xdr:col>18</xdr:col>
      <xdr:colOff>2722</xdr:colOff>
      <xdr:row>5</xdr:row>
      <xdr:rowOff>114690</xdr:rowOff>
    </xdr:to>
    <xdr:pic>
      <xdr:nvPicPr>
        <xdr:cNvPr id="2182" name="Graphic 19" descr="Inventory with solid fill">
          <a:extLst>
            <a:ext uri="{FF2B5EF4-FFF2-40B4-BE49-F238E27FC236}">
              <a16:creationId xmlns:a16="http://schemas.microsoft.com/office/drawing/2014/main" id="{CB2FC49C-AA83-B7B7-115F-3D1A198CDE8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097000" y="453572"/>
          <a:ext cx="725715" cy="725715"/>
        </a:xfrm>
        <a:prstGeom prst="rect">
          <a:avLst/>
        </a:prstGeom>
      </xdr:spPr>
    </xdr:pic>
    <xdr:clientData/>
  </xdr:twoCellAnchor>
  <xdr:oneCellAnchor>
    <xdr:from>
      <xdr:col>18</xdr:col>
      <xdr:colOff>616856</xdr:colOff>
      <xdr:row>2</xdr:row>
      <xdr:rowOff>127000</xdr:rowOff>
    </xdr:from>
    <xdr:ext cx="2449286" cy="567207"/>
    <xdr:sp macro="" textlink="">
      <xdr:nvSpPr>
        <xdr:cNvPr id="30" name="TextBox 29">
          <a:extLst>
            <a:ext uri="{FF2B5EF4-FFF2-40B4-BE49-F238E27FC236}">
              <a16:creationId xmlns:a16="http://schemas.microsoft.com/office/drawing/2014/main" id="{8B7E1A56-2463-A4A4-5478-3DF3C7016A6A}"/>
            </a:ext>
          </a:extLst>
        </xdr:cNvPr>
        <xdr:cNvSpPr txBox="1"/>
      </xdr:nvSpPr>
      <xdr:spPr>
        <a:xfrm>
          <a:off x="15639142" y="526143"/>
          <a:ext cx="2449286" cy="567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latin typeface="Arial Rounded MT Bold" panose="020F0704030504030204" pitchFamily="34" charset="77"/>
            </a:rPr>
            <a:t>NEAR </a:t>
          </a:r>
        </a:p>
        <a:p>
          <a:r>
            <a:rPr lang="en-US" sz="1600">
              <a:solidFill>
                <a:schemeClr val="bg1"/>
              </a:solidFill>
              <a:latin typeface="Arial Rounded MT Bold" panose="020F0704030504030204" pitchFamily="34" charset="77"/>
            </a:rPr>
            <a:t>EXPIRY PRODUCTS</a:t>
          </a:r>
        </a:p>
      </xdr:txBody>
    </xdr:sp>
    <xdr:clientData/>
  </xdr:oneCellAnchor>
  <xdr:oneCellAnchor>
    <xdr:from>
      <xdr:col>20</xdr:col>
      <xdr:colOff>1542143</xdr:colOff>
      <xdr:row>2</xdr:row>
      <xdr:rowOff>181429</xdr:rowOff>
    </xdr:from>
    <xdr:ext cx="623761" cy="434799"/>
    <xdr:sp macro="" textlink="pivot!B45">
      <xdr:nvSpPr>
        <xdr:cNvPr id="2225" name="TextBox 30">
          <a:extLst>
            <a:ext uri="{FF2B5EF4-FFF2-40B4-BE49-F238E27FC236}">
              <a16:creationId xmlns:a16="http://schemas.microsoft.com/office/drawing/2014/main" id="{8920B24F-6432-5B43-10E9-5D6B2E88821B}"/>
            </a:ext>
          </a:extLst>
        </xdr:cNvPr>
        <xdr:cNvSpPr txBox="1"/>
      </xdr:nvSpPr>
      <xdr:spPr>
        <a:xfrm>
          <a:off x="18233572" y="580572"/>
          <a:ext cx="623761" cy="43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E46C144-E511-E84F-A9A8-6168C4C3C283}" type="TxLink">
            <a:rPr lang="en-US" sz="2400" b="0" i="0" u="none" strike="noStrike">
              <a:solidFill>
                <a:schemeClr val="bg1"/>
              </a:solidFill>
              <a:latin typeface="Copperplate Gothic Bold" panose="020E0705020206020404" pitchFamily="34" charset="77"/>
            </a:rPr>
            <a:pPr/>
            <a:t>26</a:t>
          </a:fld>
          <a:endParaRPr lang="en-US" sz="2400">
            <a:solidFill>
              <a:schemeClr val="bg1"/>
            </a:solidFill>
            <a:latin typeface="Copperplate Gothic Bold" panose="020E0705020206020404" pitchFamily="34" charset="77"/>
          </a:endParaRPr>
        </a:p>
      </xdr:txBody>
    </xdr:sp>
    <xdr:clientData/>
  </xdr:oneCellAnchor>
  <xdr:twoCellAnchor editAs="oneCell">
    <xdr:from>
      <xdr:col>21</xdr:col>
      <xdr:colOff>870858</xdr:colOff>
      <xdr:row>2</xdr:row>
      <xdr:rowOff>72572</xdr:rowOff>
    </xdr:from>
    <xdr:to>
      <xdr:col>21</xdr:col>
      <xdr:colOff>1560285</xdr:colOff>
      <xdr:row>5</xdr:row>
      <xdr:rowOff>84592</xdr:rowOff>
    </xdr:to>
    <xdr:pic>
      <xdr:nvPicPr>
        <xdr:cNvPr id="2224" name="Graphic 33" descr="Hourglass 90% with solid fill">
          <a:extLst>
            <a:ext uri="{FF2B5EF4-FFF2-40B4-BE49-F238E27FC236}">
              <a16:creationId xmlns:a16="http://schemas.microsoft.com/office/drawing/2014/main" id="{E16A2469-F82A-81EC-08CD-7DF847ED78C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9340287" y="471715"/>
          <a:ext cx="689427" cy="689427"/>
        </a:xfrm>
        <a:prstGeom prst="rect">
          <a:avLst/>
        </a:prstGeom>
      </xdr:spPr>
    </xdr:pic>
    <xdr:clientData/>
  </xdr:twoCellAnchor>
  <xdr:twoCellAnchor>
    <xdr:from>
      <xdr:col>20</xdr:col>
      <xdr:colOff>430160</xdr:colOff>
      <xdr:row>34</xdr:row>
      <xdr:rowOff>184355</xdr:rowOff>
    </xdr:from>
    <xdr:to>
      <xdr:col>21</xdr:col>
      <xdr:colOff>2662902</xdr:colOff>
      <xdr:row>51</xdr:row>
      <xdr:rowOff>113072</xdr:rowOff>
    </xdr:to>
    <xdr:sp macro="" textlink="">
      <xdr:nvSpPr>
        <xdr:cNvPr id="16" name="Rectangle: Rounded Corners 13">
          <a:extLst>
            <a:ext uri="{FF2B5EF4-FFF2-40B4-BE49-F238E27FC236}">
              <a16:creationId xmlns:a16="http://schemas.microsoft.com/office/drawing/2014/main" id="{E74B1B83-CD5A-8642-BB30-1EBF45C3A23B}"/>
            </a:ext>
          </a:extLst>
        </xdr:cNvPr>
        <xdr:cNvSpPr/>
      </xdr:nvSpPr>
      <xdr:spPr>
        <a:xfrm>
          <a:off x="16817257" y="7742903"/>
          <a:ext cx="4014839" cy="3718234"/>
        </a:xfrm>
        <a:prstGeom prst="roundRect">
          <a:avLst/>
        </a:prstGeom>
        <a:noFill/>
        <a:ln>
          <a:solidFill>
            <a:schemeClr val="tx1">
              <a:lumMod val="95000"/>
              <a:lumOff val="5000"/>
            </a:schemeClr>
          </a:solidFill>
        </a:ln>
        <a:effectLst>
          <a:glow rad="63500">
            <a:schemeClr val="bg2">
              <a:lumMod val="90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lohit\AppData\Local\Microsoft\Windows\INetCache\IE\O7JLY0J1\inventory_data.csv(1)%20copy%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vasarao" refreshedDate="45867.464870138887" createdVersion="8" refreshedVersion="8" minRefreshableVersion="3" recordCount="199" xr:uid="{C98DD0DF-8982-4005-BDFD-B2959E5A4851}">
  <cacheSource type="worksheet">
    <worksheetSource ref="A1:Q200" sheet=".xlsx]inventory_data" r:id="rId2"/>
  </cacheSource>
  <cacheFields count="17">
    <cacheField name="UNIQUE_ID_OF_PRODUCT" numFmtId="0">
      <sharedItems/>
    </cacheField>
    <cacheField name="CATEGORY_OF_PRODUCT" numFmtId="0">
      <sharedItems count="8">
        <s v="Personal Care"/>
        <s v="Bakery"/>
        <s v="Snacks"/>
        <s v="Grocery"/>
        <s v="Dairy"/>
        <s v="Household"/>
        <s v="Beverages"/>
        <s v="Frozen Foods"/>
      </sharedItems>
    </cacheField>
    <cacheField name="PRODUCT_NAME" numFmtId="0">
      <sharedItems count="34">
        <s v="Dettol Handwash 200ml"/>
        <s v="Parle G 100g"/>
        <s v="Lays Classic 50g"/>
        <s v="Dove Soap 75g"/>
        <s v="Maggie Noodles 70g"/>
        <s v="Amul Butter "/>
        <s v="Sunfeast Biscuits 200g"/>
        <s v="Godrej Air Freshener"/>
        <s v="Fortune Oil 1L"/>
        <s v="Coca Cola 1L"/>
        <s v="Mother Dairy Toned Milk Pouch"/>
        <s v="Amul Unsalted Butter 500g – GCMMF"/>
        <s v="Mother Dairy Butter 500g – Mother Dairy"/>
        <s v="Britannia Butter 500g – Britannia Industries"/>
        <s v="Gowardhan Table Butter 500g – Parag Milk Foods"/>
        <s v="Heritage Salted Butter 500g – Heritage Foods"/>
        <s v="Nandini Butter 500g – Karnataka Milk Federation"/>
        <s v="Mother Dairy Classic Curd"/>
        <s v="Vijaya Butter 500g – Andhra Pradesh Dairy Development"/>
        <s v="Patanjali Cow Ghee 500ml"/>
        <s v="Mother Dairy Ultra Full Cream Milk"/>
        <s v="Pepsi 500ml"/>
        <s v="Britannia Bread 400g"/>
        <s v="Tide Detergent 1kg"/>
        <s v="Colgate Toothpaste 100g"/>
        <s v="Kwality Walls Ice Cream 500ml"/>
        <s v="Nestle Milk 1L"/>
        <s v="Amul Butter - Pasteurised"/>
        <s v="Britannia Sandwich White Bread"/>
        <s v="iD Curd Pouch"/>
        <s v="Gowardhan Classic Block Fresh Paneer"/>
        <s v="Amul Processed Cheese Cubes"/>
        <s v="Britannia Pav"/>
        <s v="Nestle A+ Nourish Dahi"/>
      </sharedItems>
    </cacheField>
    <cacheField name="NO_OF_STOCK_UNIT_PURCHASED_BY_STORE" numFmtId="0">
      <sharedItems containsSemiMixedTypes="0" containsString="0" containsNumber="1" containsInteger="1" minValue="50" maxValue="500"/>
    </cacheField>
    <cacheField name="NO_OF_STOCK_LEFT" numFmtId="1">
      <sharedItems containsSemiMixedTypes="0" containsString="0" containsNumber="1" containsInteger="1" minValue="2" maxValue="426"/>
    </cacheField>
    <cacheField name="UNIT_COST_FROM_COMPANY_TO_STORE" numFmtId="1">
      <sharedItems containsSemiMixedTypes="0" containsString="0" containsNumber="1" minValue="11.28" maxValue="199.25"/>
    </cacheField>
    <cacheField name="MRP" numFmtId="1">
      <sharedItems containsSemiMixedTypes="0" containsString="0" containsNumber="1" minValue="15.05" maxValue="297.36"/>
    </cacheField>
    <cacheField name="DISCOUNT_GIVEN_BY_COMPANY_TO_STORE" numFmtId="1">
      <sharedItems containsSemiMixedTypes="0" containsString="0" containsNumber="1" minValue="1.19" maxValue="9.94"/>
    </cacheField>
    <cacheField name="ACTUAL_PRICE_TO_CUSTOMER" numFmtId="1">
      <sharedItems containsSemiMixedTypes="0" containsString="0" containsNumber="1" minValue="7.63" maxValue="296.49"/>
    </cacheField>
    <cacheField name="EXPIRY_DATE_OF_PRODUCT" numFmtId="14">
      <sharedItems containsSemiMixedTypes="0" containsNonDate="0" containsDate="1" containsString="0" minDate="2025-08-03T00:00:00" maxDate="2027-12-31T00:00:00" count="180">
        <d v="2026-01-22T00:00:00"/>
        <d v="2027-07-22T00:00:00"/>
        <d v="2025-09-10T00:00:00"/>
        <d v="2027-12-02T00:00:00"/>
        <d v="2027-04-02T00:00:00"/>
        <d v="2025-12-12T00:00:00"/>
        <d v="2026-01-02T00:00:00"/>
        <d v="2026-03-23T00:00:00"/>
        <d v="2027-10-19T00:00:00"/>
        <d v="2027-10-26T00:00:00"/>
        <d v="2027-09-29T00:00:00"/>
        <d v="2026-12-20T00:00:00"/>
        <d v="2026-07-31T00:00:00"/>
        <d v="2026-06-29T00:00:00"/>
        <d v="2027-10-08T00:00:00"/>
        <d v="2026-02-11T00:00:00"/>
        <d v="2026-10-13T00:00:00"/>
        <d v="2026-10-02T00:00:00"/>
        <d v="2025-09-14T00:00:00"/>
        <d v="2027-10-09T00:00:00"/>
        <d v="2026-12-13T00:00:00"/>
        <d v="2027-12-27T00:00:00"/>
        <d v="2027-02-16T00:00:00"/>
        <d v="2027-06-02T00:00:00"/>
        <d v="2025-12-02T00:00:00"/>
        <d v="2027-02-04T00:00:00"/>
        <d v="2025-08-30T00:00:00"/>
        <d v="2026-03-24T00:00:00"/>
        <d v="2026-10-21T00:00:00"/>
        <d v="2027-08-22T00:00:00"/>
        <d v="2025-08-15T00:00:00"/>
        <d v="2025-09-18T00:00:00"/>
        <d v="2026-11-23T00:00:00"/>
        <d v="2026-07-25T00:00:00"/>
        <d v="2026-06-11T00:00:00"/>
        <d v="2025-08-03T00:00:00"/>
        <d v="2026-11-07T00:00:00"/>
        <d v="2027-11-12T00:00:00"/>
        <d v="2026-06-03T00:00:00"/>
        <d v="2027-12-23T00:00:00"/>
        <d v="2026-01-15T00:00:00"/>
        <d v="2026-02-24T00:00:00"/>
        <d v="2026-05-27T00:00:00"/>
        <d v="2025-12-31T00:00:00"/>
        <d v="2027-08-25T00:00:00"/>
        <d v="2026-04-21T00:00:00"/>
        <d v="2025-08-09T00:00:00"/>
        <d v="2026-06-19T00:00:00"/>
        <d v="2027-01-26T00:00:00"/>
        <d v="2027-11-27T00:00:00"/>
        <d v="2027-01-20T00:00:00"/>
        <d v="2025-12-27T00:00:00"/>
        <d v="2025-08-23T00:00:00"/>
        <d v="2026-01-04T00:00:00"/>
        <d v="2025-11-20T00:00:00"/>
        <d v="2026-11-26T00:00:00"/>
        <d v="2026-02-05T00:00:00"/>
        <d v="2027-12-30T00:00:00"/>
        <d v="2027-11-13T00:00:00"/>
        <d v="2027-06-06T00:00:00"/>
        <d v="2026-01-18T00:00:00"/>
        <d v="2026-10-14T00:00:00"/>
        <d v="2027-02-08T00:00:00"/>
        <d v="2026-12-06T00:00:00"/>
        <d v="2026-06-16T00:00:00"/>
        <d v="2027-01-16T00:00:00"/>
        <d v="2027-12-22T00:00:00"/>
        <d v="2027-12-03T00:00:00"/>
        <d v="2027-10-27T00:00:00"/>
        <d v="2026-09-10T00:00:00"/>
        <d v="2025-12-10T00:00:00"/>
        <d v="2027-11-15T00:00:00"/>
        <d v="2027-01-15T00:00:00"/>
        <d v="2027-07-04T00:00:00"/>
        <d v="2027-01-09T00:00:00"/>
        <d v="2026-02-13T00:00:00"/>
        <d v="2027-08-23T00:00:00"/>
        <d v="2026-05-25T00:00:00"/>
        <d v="2026-08-23T00:00:00"/>
        <d v="2027-04-20T00:00:00"/>
        <d v="2026-08-06T00:00:00"/>
        <d v="2026-02-07T00:00:00"/>
        <d v="2026-05-28T00:00:00"/>
        <d v="2027-09-23T00:00:00"/>
        <d v="2027-08-01T00:00:00"/>
        <d v="2026-04-20T00:00:00"/>
        <d v="2026-06-05T00:00:00"/>
        <d v="2026-08-03T00:00:00"/>
        <d v="2027-01-02T00:00:00"/>
        <d v="2027-06-20T00:00:00"/>
        <d v="2025-11-30T00:00:00"/>
        <d v="2026-08-08T00:00:00"/>
        <d v="2025-10-17T00:00:00"/>
        <d v="2027-07-16T00:00:00"/>
        <d v="2026-09-21T00:00:00"/>
        <d v="2026-12-05T00:00:00"/>
        <d v="2026-10-19T00:00:00"/>
        <d v="2027-08-07T00:00:00"/>
        <d v="2026-02-16T00:00:00"/>
        <d v="2026-07-22T00:00:00"/>
        <d v="2026-03-08T00:00:00"/>
        <d v="2026-09-20T00:00:00"/>
        <d v="2027-05-17T00:00:00"/>
        <d v="2026-05-16T00:00:00"/>
        <d v="2026-10-17T00:00:00"/>
        <d v="2027-09-01T00:00:00"/>
        <d v="2027-02-14T00:00:00"/>
        <d v="2026-07-03T00:00:00"/>
        <d v="2026-05-05T00:00:00"/>
        <d v="2027-08-28T00:00:00"/>
        <d v="2027-01-18T00:00:00"/>
        <d v="2026-08-29T00:00:00"/>
        <d v="2026-09-09T00:00:00"/>
        <d v="2026-05-09T00:00:00"/>
        <d v="2026-06-25T00:00:00"/>
        <d v="2027-09-15T00:00:00"/>
        <d v="2026-08-01T00:00:00"/>
        <d v="2026-04-16T00:00:00"/>
        <d v="2027-01-03T00:00:00"/>
        <d v="2026-11-14T00:00:00"/>
        <d v="2027-12-17T00:00:00"/>
        <d v="2026-09-12T00:00:00"/>
        <d v="2025-10-05T00:00:00"/>
        <d v="2027-10-24T00:00:00"/>
        <d v="2026-05-24T00:00:00"/>
        <d v="2026-05-26T00:00:00"/>
        <d v="2026-01-31T00:00:00"/>
        <d v="2026-11-22T00:00:00"/>
        <d v="2027-06-17T00:00:00"/>
        <d v="2026-11-01T00:00:00"/>
        <d v="2025-09-25T00:00:00"/>
        <d v="2026-12-03T00:00:00"/>
        <d v="2026-04-10T00:00:00"/>
        <d v="2027-02-21T00:00:00"/>
        <d v="2025-11-12T00:00:00"/>
        <d v="2025-11-08T00:00:00"/>
        <d v="2026-11-18T00:00:00"/>
        <d v="2026-10-06T00:00:00"/>
        <d v="2025-10-28T00:00:00"/>
        <d v="2027-02-11T00:00:00"/>
        <d v="2025-12-18T00:00:00"/>
        <d v="2026-07-15T00:00:00"/>
        <d v="2027-11-07T00:00:00"/>
        <d v="2027-07-05T00:00:00"/>
        <d v="2027-08-09T00:00:00"/>
        <d v="2025-12-11T00:00:00"/>
        <d v="2025-10-01T00:00:00"/>
        <d v="2025-11-14T00:00:00"/>
        <d v="2027-02-23T00:00:00"/>
        <d v="2026-11-06T00:00:00"/>
        <d v="2027-07-29T00:00:00"/>
        <d v="2026-01-29T00:00:00"/>
        <d v="2025-11-17T00:00:00"/>
        <d v="2026-08-09T00:00:00"/>
        <d v="2027-07-25T00:00:00"/>
        <d v="2027-01-21T00:00:00"/>
        <d v="2026-07-13T00:00:00"/>
        <d v="2027-06-07T00:00:00"/>
        <d v="2026-07-21T00:00:00"/>
        <d v="2026-03-27T00:00:00"/>
        <d v="2025-12-23T00:00:00"/>
        <d v="2026-12-07T00:00:00"/>
        <d v="2027-01-28T00:00:00"/>
        <d v="2026-11-29T00:00:00"/>
        <d v="2025-10-02T00:00:00"/>
        <d v="2026-10-27T00:00:00"/>
        <d v="2025-10-14T00:00:00"/>
        <d v="2027-09-25T00:00:00"/>
        <d v="2026-04-02T00:00:00"/>
        <d v="2027-05-27T00:00:00"/>
        <d v="2025-11-22T00:00:00"/>
        <d v="2025-08-07T00:00:00"/>
        <d v="2027-04-18T00:00:00"/>
        <d v="2026-09-13T00:00:00"/>
        <d v="2027-10-21T00:00:00"/>
        <d v="2026-01-07T00:00:00"/>
        <d v="2026-10-30T00:00:00"/>
        <d v="2025-12-08T00:00:00"/>
        <d v="2027-01-12T00:00:00"/>
        <d v="2026-03-29T00:00:00"/>
      </sharedItems>
    </cacheField>
    <cacheField name="DATE_OF_STOCK_PURCHASED" numFmtId="14">
      <sharedItems containsSemiMixedTypes="0" containsNonDate="0" containsDate="1" containsString="0" minDate="2025-04-01T00:00:00" maxDate="2025-07-23T00:00:00"/>
    </cacheField>
    <cacheField name="PURCHASED_COMPANY_NAME" numFmtId="0">
      <sharedItems/>
    </cacheField>
    <cacheField name="COMPANY_EMAIL_FOR_ORDERING" numFmtId="0">
      <sharedItems/>
    </cacheField>
    <cacheField name="DISCOUNT" numFmtId="9">
      <sharedItems containsSemiMixedTypes="0" containsString="0" containsNumber="1" minValue="0.05" maxValue="0.4"/>
    </cacheField>
    <cacheField name="PRICE_AFTER_DISCOUNT" numFmtId="164">
      <sharedItems containsSemiMixedTypes="0" containsString="0" containsNumber="1" minValue="9.0299999999999994" maxValue="282.49200000000002"/>
    </cacheField>
    <cacheField name="SOLD_STOCK" numFmtId="1">
      <sharedItems containsSemiMixedTypes="0" containsString="0" containsNumber="1" containsInteger="1" minValue="2" maxValue="480"/>
    </cacheField>
    <cacheField name="PROFIT" numFmtId="0">
      <sharedItems containsSemiMixedTypes="0" containsString="0" containsNumber="1" minValue="-1730.0999999999997" maxValue="42137.630000000012" count="199">
        <n v="2038.0000000000002"/>
        <n v="2105.150000000001"/>
        <n v="19265.379999999994"/>
        <n v="11712.14"/>
        <n v="4393.92"/>
        <n v="2845.800000000002"/>
        <n v="7781.1000000000022"/>
        <n v="603.68000000000029"/>
        <n v="11046.720000000005"/>
        <n v="12361.5"/>
        <n v="7928.97"/>
        <n v="380.5"/>
        <n v="1090.7700000000004"/>
        <n v="1480.9199999999998"/>
        <n v="4498.5400000000009"/>
        <n v="4724.7199999999993"/>
        <n v="7665.2099999999955"/>
        <n v="23431.5"/>
        <n v="1855.4499999999998"/>
        <n v="35104.320000000007"/>
        <n v="12401.839999999998"/>
        <n v="13311.479999999994"/>
        <n v="5936.4900000000016"/>
        <n v="2545.7499999999995"/>
        <n v="18302.400000000005"/>
        <n v="20974.410000000003"/>
        <n v="11079.2"/>
        <n v="4292.9999999999982"/>
        <n v="4916.7499999999982"/>
        <n v="22482.890000000003"/>
        <n v="15854.980000000001"/>
        <n v="42137.630000000012"/>
        <n v="9915.3600000000024"/>
        <n v="7902.4399999999987"/>
        <n v="28223.02"/>
        <n v="-1730.0999999999997"/>
        <n v="11213.44"/>
        <n v="26247.9"/>
        <n v="793.51000000000033"/>
        <n v="580.31999999999982"/>
        <n v="18546.989999999994"/>
        <n v="79.119999999999948"/>
        <n v="21370.32"/>
        <n v="2237.0399999999991"/>
        <n v="3679.9200000000019"/>
        <n v="6324.74"/>
        <n v="6746.1999999999989"/>
        <n v="3355.44"/>
        <n v="2714.4000000000015"/>
        <n v="8195.8000000000011"/>
        <n v="17638.399999999994"/>
        <n v="1627.99"/>
        <n v="6769.3600000000042"/>
        <n v="27817.199999999993"/>
        <n v="4569.5599999999986"/>
        <n v="8945.0199999999932"/>
        <n v="6100.5"/>
        <n v="1161.6000000000001"/>
        <n v="12846.130000000003"/>
        <n v="474.1400000000001"/>
        <n v="6623.1999999999989"/>
        <n v="3568.0000000000018"/>
        <n v="26816.159999999993"/>
        <n v="7494.1200000000008"/>
        <n v="3944.239999999998"/>
        <n v="17036.960000000003"/>
        <n v="9244"/>
        <n v="3047.5899999999992"/>
        <n v="244.75999999999993"/>
        <n v="5773.4800000000014"/>
        <n v="4100.9099999999989"/>
        <n v="18807.329999999994"/>
        <n v="4339.2000000000007"/>
        <n v="16748.399999999998"/>
        <n v="8491.0899999999947"/>
        <n v="6068.8600000000006"/>
        <n v="16631.04"/>
        <n v="18557.400000000001"/>
        <n v="1722.9299999999996"/>
        <n v="2390.9599999999996"/>
        <n v="15127.2"/>
        <n v="11310.479999999998"/>
        <n v="7778.5199999999986"/>
        <n v="3995.6999999999989"/>
        <n v="7063.9799999999987"/>
        <n v="772.20000000000016"/>
        <n v="14483.000000000004"/>
        <n v="724.1700000000003"/>
        <n v="5614.56"/>
        <n v="4280.2900000000018"/>
        <n v="2180.2199999999998"/>
        <n v="5192.3000000000011"/>
        <n v="16333.360000000006"/>
        <n v="7194.3600000000024"/>
        <n v="3571.2"/>
        <n v="19857.54"/>
        <n v="1051.54"/>
        <n v="10651.680000000002"/>
        <n v="5330.6799999999985"/>
        <n v="19686.900000000001"/>
        <n v="893.36999999999898"/>
        <n v="24158.47"/>
        <n v="22463.200000000004"/>
        <n v="16672.740000000005"/>
        <n v="25964.260000000002"/>
        <n v="29318.920000000009"/>
        <n v="3825.3600000000006"/>
        <n v="7165.6"/>
        <n v="7873.5999999999985"/>
        <n v="32984.600000000006"/>
        <n v="11695.32"/>
        <n v="2054.9999999999995"/>
        <n v="12785.640000000001"/>
        <n v="29401.68"/>
        <n v="7251.0099999999984"/>
        <n v="11450.999999999996"/>
        <n v="4250.0699999999988"/>
        <n v="785.48000000000036"/>
        <n v="5169.6899999999987"/>
        <n v="23682.239999999998"/>
        <n v="7228.5400000000009"/>
        <n v="3148.0000000000005"/>
        <n v="24492.239999999998"/>
        <n v="4383.3899999999985"/>
        <n v="16446.320000000003"/>
        <n v="4975.5"/>
        <n v="10183.190000000004"/>
        <n v="18975.250000000004"/>
        <n v="13527.990000000002"/>
        <n v="3669.7599999999984"/>
        <n v="658.3499999999998"/>
        <n v="13515.699999999999"/>
        <n v="7413.0499999999993"/>
        <n v="2286.0800000000022"/>
        <n v="1980.0400000000002"/>
        <n v="10123.52"/>
        <n v="4542.6000000000004"/>
        <n v="9761.25"/>
        <n v="6955.2000000000025"/>
        <n v="19117.349999999995"/>
        <n v="3170.0699999999993"/>
        <n v="12957.959999999997"/>
        <n v="359.15999999999997"/>
        <n v="9732.58"/>
        <n v="12846.379999999994"/>
        <n v="2113.0199999999995"/>
        <n v="20541.280000000006"/>
        <n v="18848.410000000003"/>
        <n v="596.1600000000002"/>
        <n v="11353.15"/>
        <n v="29162.979999999992"/>
        <n v="6954.119999999999"/>
        <n v="1578.7500000000002"/>
        <n v="15560.76"/>
        <n v="5582.5000000000009"/>
        <n v="1832.5999999999997"/>
        <n v="12307.960000000001"/>
        <n v="7036.3200000000015"/>
        <n v="1538.9999999999998"/>
        <n v="2586.2800000000007"/>
        <n v="12925.800000000003"/>
        <n v="10089"/>
        <n v="26168.050000000003"/>
        <n v="3189.9699999999984"/>
        <n v="5430.8499999999995"/>
        <n v="4032.2399999999993"/>
        <n v="1755.5999999999997"/>
        <n v="4065.5999999999995"/>
        <n v="2341.5"/>
        <n v="3864"/>
        <n v="8097.8199999999988"/>
        <n v="328.49999999999966"/>
        <n v="5810.420000000001"/>
        <n v="11253.28"/>
        <n v="23140.740000000013"/>
        <n v="3001.9199999999996"/>
        <n v="15716.050000000001"/>
        <n v="10836"/>
        <n v="22741.469999999998"/>
        <n v="20347.920000000006"/>
        <n v="4191.5"/>
        <n v="17696.739999999998"/>
        <n v="24732.359999999993"/>
        <n v="17567.96999999999"/>
        <n v="8724.7800000000025"/>
        <n v="16588.259999999998"/>
        <n v="6167.7299999999987"/>
        <n v="8185.4999999999991"/>
        <n v="3458.4900000000007"/>
        <n v="10067.999999999995"/>
        <n v="13223.450000000006"/>
        <n v="10415.790000000001"/>
        <n v="1649.8000000000009"/>
        <n v="2404.5600000000009"/>
        <n v="3541.2"/>
        <n v="7875.56"/>
        <n v="1563.4199999999996"/>
        <n v="33660"/>
        <n v="8079.170000000001"/>
      </sharedItems>
    </cacheField>
  </cacheFields>
  <extLst>
    <ext xmlns:x14="http://schemas.microsoft.com/office/spreadsheetml/2009/9/main" uri="{725AE2AE-9491-48be-B2B4-4EB974FC3084}">
      <x14:pivotCacheDefinition pivotCacheId="341870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sum" refreshedDate="45869.499669791665" createdVersion="8" refreshedVersion="8" minRefreshableVersion="3" recordCount="199" xr:uid="{8361894B-5541-43BA-85A8-38561CB2B953}">
  <cacheSource type="worksheet">
    <worksheetSource name="Table1"/>
  </cacheSource>
  <cacheFields count="19">
    <cacheField name="UNIQUE_ID_OF_PRODUCT" numFmtId="0">
      <sharedItems/>
    </cacheField>
    <cacheField name="CATEGORY_OF_PRODUCT" numFmtId="0">
      <sharedItems count="8">
        <s v="Personal Care"/>
        <s v="Bakery"/>
        <s v="Snacks"/>
        <s v="Grocery"/>
        <s v="Dairy"/>
        <s v="Household"/>
        <s v="Beverages"/>
        <s v="Frozen Foods"/>
      </sharedItems>
    </cacheField>
    <cacheField name="PRODUCT_NAME" numFmtId="0">
      <sharedItems count="43">
        <s v="Dettol Handwash 200ml"/>
        <s v="Parle G 100g"/>
        <s v="Lays Classic 50g"/>
        <s v="Dove Soap 75g"/>
        <s v="Maggie Noodles 70g"/>
        <s v="Amul Butter "/>
        <s v="Sunfeast Biscuits 200g"/>
        <s v="Godrej Air Freshener"/>
        <s v="Fortune Oil 1L"/>
        <s v="Coca Cola 1L"/>
        <s v="Mother Dairy Toned Milk Pouch"/>
        <s v="Amul Unsalted Butter 500g – GCMMF"/>
        <s v="Mother Dairy Butter 500g – Mother Dairy"/>
        <s v="Britannia Butter 500g – Britannia Industries"/>
        <s v="Gowardhan Table Butter 500g – Parag Milk Foods"/>
        <s v="Heritage Salted Butter 500g – Heritage Foods"/>
        <s v="Nandini Butter 500g – Karnataka Milk Federation"/>
        <s v="Mother Dairy Classic Curd"/>
        <s v="Vijaya Butter 500g – Andhra Pradesh Dairy Development"/>
        <s v="Patanjali Cow Ghee 500ml"/>
        <s v="Mother Dairy Ultra Full Cream Milk"/>
        <s v="Pepsi 500ml"/>
        <s v="Lays Chilli 50g"/>
        <s v="Britannia Bread 400g"/>
        <s v="Pepsi 1L"/>
        <s v="Tide Detergent 1kg"/>
        <s v="Tide Detergent 500g"/>
        <s v="Colgate Toothpaste 100g"/>
        <s v="Fortune Oil 5L"/>
        <s v="Kwality Walls Ice Cream 500ml"/>
        <s v="Nestle Milk 1L"/>
        <s v="Amul Butter - Pasteurised"/>
        <s v="Britannia Sandwich White Bread"/>
        <s v="Maggie Noodles 250g"/>
        <s v="Godrej Room Freshener"/>
        <s v="iD Curd Pouch"/>
        <s v="Gowardhan Classic Block Fresh Paneer"/>
        <s v="Amul Processed Cheese Cubes"/>
        <s v="Lays salt 50g"/>
        <s v="Britannia Pav"/>
        <s v="Lays Classic 150g"/>
        <s v="Lays salt 150g"/>
        <s v="Nestle A+ Nourish Dahi"/>
      </sharedItems>
    </cacheField>
    <cacheField name="NO_OF_STOCK_UNIT_PURCHASED_BY_STORE" numFmtId="0">
      <sharedItems containsSemiMixedTypes="0" containsString="0" containsNumber="1" containsInteger="1" minValue="50" maxValue="500"/>
    </cacheField>
    <cacheField name="NO_OF_STOCK_LEFT" numFmtId="1">
      <sharedItems containsSemiMixedTypes="0" containsString="0" containsNumber="1" containsInteger="1" minValue="2" maxValue="426"/>
    </cacheField>
    <cacheField name="UNIT_COST_FROM_COMPANY_TO_STORE" numFmtId="1">
      <sharedItems containsSemiMixedTypes="0" containsString="0" containsNumber="1" minValue="11.28" maxValue="199.25"/>
    </cacheField>
    <cacheField name="MRP" numFmtId="1">
      <sharedItems containsSemiMixedTypes="0" containsString="0" containsNumber="1" minValue="15.05" maxValue="297.36"/>
    </cacheField>
    <cacheField name="DISCOUNT_GIVEN_BY_COMPANY_TO_STORE" numFmtId="1">
      <sharedItems containsSemiMixedTypes="0" containsString="0" containsNumber="1" minValue="1.19" maxValue="9.94"/>
    </cacheField>
    <cacheField name="ACTUAL_PRICE_TO_CUSTOMER" numFmtId="1">
      <sharedItems containsSemiMixedTypes="0" containsString="0" containsNumber="1" minValue="7.63" maxValue="296.49"/>
    </cacheField>
    <cacheField name="EXPIRY_DATE_OF_PRODUCT" numFmtId="14">
      <sharedItems containsSemiMixedTypes="0" containsNonDate="0" containsDate="1" containsString="0" minDate="2025-08-03T00:00:00" maxDate="2027-12-31T00:00:00" count="159">
        <d v="2026-01-22T00:00:00"/>
        <d v="2027-07-22T00:00:00"/>
        <d v="2025-09-10T00:00:00"/>
        <d v="2027-12-02T00:00:00"/>
        <d v="2027-04-02T00:00:00"/>
        <d v="2025-12-12T00:00:00"/>
        <d v="2026-01-02T00:00:00"/>
        <d v="2026-03-23T00:00:00"/>
        <d v="2027-10-19T00:00:00"/>
        <d v="2027-10-26T00:00:00"/>
        <d v="2025-09-29T00:00:00"/>
        <d v="2025-08-30T00:00:00"/>
        <d v="2026-07-31T00:00:00"/>
        <d v="2026-06-29T00:00:00"/>
        <d v="2027-10-08T00:00:00"/>
        <d v="2026-02-11T00:00:00"/>
        <d v="2026-10-13T00:00:00"/>
        <d v="2026-10-02T00:00:00"/>
        <d v="2025-09-14T00:00:00"/>
        <d v="2027-10-09T00:00:00"/>
        <d v="2025-09-30T00:00:00"/>
        <d v="2027-12-27T00:00:00"/>
        <d v="2027-02-16T00:00:00"/>
        <d v="2027-06-02T00:00:00"/>
        <d v="2025-12-02T00:00:00"/>
        <d v="2027-02-04T00:00:00"/>
        <d v="2026-03-24T00:00:00"/>
        <d v="2026-10-21T00:00:00"/>
        <d v="2027-08-22T00:00:00"/>
        <d v="2025-08-15T00:00:00"/>
        <d v="2025-09-18T00:00:00"/>
        <d v="2026-11-23T00:00:00"/>
        <d v="2026-07-25T00:00:00"/>
        <d v="2026-06-11T00:00:00"/>
        <d v="2025-08-03T00:00:00"/>
        <d v="2026-11-07T00:00:00"/>
        <d v="2025-09-01T00:00:00"/>
        <d v="2026-06-03T00:00:00"/>
        <d v="2027-12-23T00:00:00"/>
        <d v="2026-02-24T00:00:00"/>
        <d v="2026-05-27T00:00:00"/>
        <d v="2025-12-31T00:00:00"/>
        <d v="2027-08-25T00:00:00"/>
        <d v="2026-04-21T00:00:00"/>
        <d v="2025-08-09T00:00:00"/>
        <d v="2026-06-19T00:00:00"/>
        <d v="2027-01-26T00:00:00"/>
        <d v="2027-11-27T00:00:00"/>
        <d v="2027-01-20T00:00:00"/>
        <d v="2025-12-27T00:00:00"/>
        <d v="2025-08-23T00:00:00"/>
        <d v="2026-01-04T00:00:00"/>
        <d v="2025-11-20T00:00:00"/>
        <d v="2026-11-26T00:00:00"/>
        <d v="2025-08-29T00:00:00"/>
        <d v="2027-12-30T00:00:00"/>
        <d v="2027-11-13T00:00:00"/>
        <d v="2026-01-18T00:00:00"/>
        <d v="2026-10-14T00:00:00"/>
        <d v="2027-02-08T00:00:00"/>
        <d v="2026-12-06T00:00:00"/>
        <d v="2026-06-16T00:00:00"/>
        <d v="2027-01-16T00:00:00"/>
        <d v="2027-12-22T00:00:00"/>
        <d v="2027-12-03T00:00:00"/>
        <d v="2027-10-27T00:00:00"/>
        <d v="2026-09-10T00:00:00"/>
        <d v="2025-12-10T00:00:00"/>
        <d v="2027-11-15T00:00:00"/>
        <d v="2027-01-15T00:00:00"/>
        <d v="2027-07-04T00:00:00"/>
        <d v="2025-08-31T00:00:00"/>
        <d v="2026-02-13T00:00:00"/>
        <d v="2027-08-23T00:00:00"/>
        <d v="2026-05-25T00:00:00"/>
        <d v="2026-08-23T00:00:00"/>
        <d v="2027-04-20T00:00:00"/>
        <d v="2026-08-06T00:00:00"/>
        <d v="2026-05-28T00:00:00"/>
        <d v="2027-09-23T00:00:00"/>
        <d v="2027-08-01T00:00:00"/>
        <d v="2026-04-20T00:00:00"/>
        <d v="2026-06-05T00:00:00"/>
        <d v="2027-01-02T00:00:00"/>
        <d v="2027-06-20T00:00:00"/>
        <d v="2026-08-08T00:00:00"/>
        <d v="2025-10-17T00:00:00"/>
        <d v="2027-07-16T00:00:00"/>
        <d v="2026-09-21T00:00:00"/>
        <d v="2026-12-05T00:00:00"/>
        <d v="2026-10-19T00:00:00"/>
        <d v="2027-08-07T00:00:00"/>
        <d v="2026-02-16T00:00:00"/>
        <d v="2026-07-22T00:00:00"/>
        <d v="2026-03-08T00:00:00"/>
        <d v="2026-09-20T00:00:00"/>
        <d v="2027-05-17T00:00:00"/>
        <d v="2026-05-16T00:00:00"/>
        <d v="2026-10-17T00:00:00"/>
        <d v="2027-09-01T00:00:00"/>
        <d v="2025-11-30T00:00:00"/>
        <d v="2026-05-05T00:00:00"/>
        <d v="2027-08-28T00:00:00"/>
        <d v="2027-01-18T00:00:00"/>
        <d v="2026-05-09T00:00:00"/>
        <d v="2026-06-25T00:00:00"/>
        <d v="2027-09-15T00:00:00"/>
        <d v="2026-04-16T00:00:00"/>
        <d v="2027-01-03T00:00:00"/>
        <d v="2026-11-14T00:00:00"/>
        <d v="2027-12-17T00:00:00"/>
        <d v="2026-09-12T00:00:00"/>
        <d v="2025-10-05T00:00:00"/>
        <d v="2027-10-24T00:00:00"/>
        <d v="2026-05-24T00:00:00"/>
        <d v="2026-05-26T00:00:00"/>
        <d v="2026-01-31T00:00:00"/>
        <d v="2026-11-22T00:00:00"/>
        <d v="2027-06-17T00:00:00"/>
        <d v="2025-09-25T00:00:00"/>
        <d v="2026-12-03T00:00:00"/>
        <d v="2026-04-10T00:00:00"/>
        <d v="2027-02-21T00:00:00"/>
        <d v="2025-11-12T00:00:00"/>
        <d v="2025-11-08T00:00:00"/>
        <d v="2026-11-18T00:00:00"/>
        <d v="2026-10-06T00:00:00"/>
        <d v="2025-10-28T00:00:00"/>
        <d v="2027-02-11T00:00:00"/>
        <d v="2026-07-15T00:00:00"/>
        <d v="2027-07-05T00:00:00"/>
        <d v="2027-08-09T00:00:00"/>
        <d v="2025-12-11T00:00:00"/>
        <d v="2025-10-01T00:00:00"/>
        <d v="2025-11-14T00:00:00"/>
        <d v="2027-02-23T00:00:00"/>
        <d v="2026-11-06T00:00:00"/>
        <d v="2026-01-29T00:00:00"/>
        <d v="2025-11-17T00:00:00"/>
        <d v="2026-08-09T00:00:00"/>
        <d v="2027-07-25T00:00:00"/>
        <d v="2027-01-21T00:00:00"/>
        <d v="2026-07-21T00:00:00"/>
        <d v="2025-12-23T00:00:00"/>
        <d v="2026-12-07T00:00:00"/>
        <d v="2027-01-28T00:00:00"/>
        <d v="2026-11-29T00:00:00"/>
        <d v="2025-10-02T00:00:00"/>
        <d v="2026-10-27T00:00:00"/>
        <d v="2025-10-14T00:00:00"/>
        <d v="2027-09-25T00:00:00"/>
        <d v="2027-05-27T00:00:00"/>
        <d v="2025-11-22T00:00:00"/>
        <d v="2025-08-07T00:00:00"/>
        <d v="2026-09-13T00:00:00"/>
        <d v="2027-10-21T00:00:00"/>
        <d v="2026-01-07T00:00:00"/>
        <d v="2025-12-08T00:00:00"/>
        <d v="2027-01-12T00:00:00"/>
      </sharedItems>
    </cacheField>
    <cacheField name="DATE_OF_STOCK_PURCHASED" numFmtId="14">
      <sharedItems containsSemiMixedTypes="0" containsNonDate="0" containsDate="1" containsString="0" minDate="2025-04-01T00:00:00" maxDate="2025-09-01T00:00:00"/>
    </cacheField>
    <cacheField name="PURCHASED_COMPANY_NAME" numFmtId="0">
      <sharedItems/>
    </cacheField>
    <cacheField name="COMPANY_EMAIL_FOR_ORDERING" numFmtId="0">
      <sharedItems/>
    </cacheField>
    <cacheField name="DISCOUNT" numFmtId="9">
      <sharedItems containsSemiMixedTypes="0" containsString="0" containsNumber="1" minValue="0.05" maxValue="0.4" count="3">
        <n v="0.05"/>
        <n v="0.4"/>
        <n v="0.2"/>
      </sharedItems>
    </cacheField>
    <cacheField name="PRICE_AFTER_DISCOUNT" numFmtId="164">
      <sharedItems containsSemiMixedTypes="0" containsString="0" containsNumber="1" minValue="9.0299999999999994" maxValue="282.49200000000002"/>
    </cacheField>
    <cacheField name="SOLD_STOCK" numFmtId="1">
      <sharedItems containsSemiMixedTypes="0" containsString="0" containsNumber="1" containsInteger="1" minValue="2" maxValue="480" count="148">
        <n v="40"/>
        <n v="136"/>
        <n v="382"/>
        <n v="88"/>
        <n v="18"/>
        <n v="149"/>
        <n v="32"/>
        <n v="90"/>
        <n v="119"/>
        <n v="260"/>
        <n v="47"/>
        <n v="51"/>
        <n v="35"/>
        <n v="50"/>
        <n v="46"/>
        <n v="421"/>
        <n v="299"/>
        <n v="87"/>
        <n v="388"/>
        <n v="137"/>
        <n v="238"/>
        <n v="221"/>
        <n v="147"/>
        <n v="294"/>
        <n v="65"/>
        <n v="19"/>
        <n v="130"/>
        <n v="127"/>
        <n v="67"/>
        <n v="10"/>
        <n v="59"/>
        <n v="93"/>
        <n v="209"/>
        <n v="431"/>
        <n v="218"/>
        <n v="3"/>
        <n v="83"/>
        <n v="25"/>
        <n v="298"/>
        <n v="27"/>
        <n v="216"/>
        <n v="5"/>
        <n v="20"/>
        <n v="311"/>
        <n v="56"/>
        <n v="66"/>
        <n v="24"/>
        <n v="48"/>
        <n v="224"/>
        <n v="125"/>
        <n v="113"/>
        <n v="180"/>
        <n v="161"/>
        <n v="283"/>
        <n v="42"/>
        <n v="34"/>
        <n v="57"/>
        <n v="126"/>
        <n v="274"/>
        <n v="63"/>
        <n v="99"/>
        <n v="82"/>
        <n v="21"/>
        <n v="175"/>
        <n v="30"/>
        <n v="328"/>
        <n v="325"/>
        <n v="94"/>
        <n v="23"/>
        <n v="28"/>
        <n v="72"/>
        <n v="105"/>
        <n v="98"/>
        <n v="131"/>
        <n v="139"/>
        <n v="80"/>
        <n v="75"/>
        <n v="101"/>
        <n v="38"/>
        <n v="392"/>
        <n v="154"/>
        <n v="70"/>
        <n v="165"/>
        <n v="167"/>
        <n v="323"/>
        <n v="289"/>
        <n v="254"/>
        <n v="182"/>
        <n v="422"/>
        <n v="276"/>
        <n v="418"/>
        <n v="300"/>
        <n v="2"/>
        <n v="173"/>
        <n v="15"/>
        <n v="71"/>
        <n v="403"/>
        <n v="102"/>
        <n v="317"/>
        <n v="132"/>
        <n v="381"/>
        <n v="480"/>
        <n v="286"/>
        <n v="193"/>
        <n v="222"/>
        <n v="37"/>
        <n v="198"/>
        <n v="232"/>
        <n v="110"/>
        <n v="111"/>
        <n v="176"/>
        <n v="211"/>
        <n v="36"/>
        <n v="86"/>
        <n v="243"/>
        <n v="462"/>
        <n v="240"/>
        <n v="290"/>
        <n v="244"/>
        <n v="54"/>
        <n v="78"/>
        <n v="204"/>
        <n v="45"/>
        <n v="356"/>
        <n v="277"/>
        <n v="106"/>
        <n v="49"/>
        <n v="208"/>
        <n v="190"/>
        <n v="7"/>
        <n v="55"/>
        <n v="13"/>
        <n v="464"/>
        <n v="26"/>
        <n v="140"/>
        <n v="229"/>
        <n v="200"/>
        <n v="327"/>
        <n v="339"/>
        <n v="97"/>
        <n v="258"/>
        <n v="135"/>
        <n v="201"/>
        <n v="181"/>
        <n v="151"/>
        <n v="164"/>
        <n v="39"/>
        <n v="304"/>
      </sharedItems>
    </cacheField>
    <cacheField name="PROFIT" numFmtId="164">
      <sharedItems containsSemiMixedTypes="0" containsString="0" containsNumber="1" minValue="36" maxValue="33902.5"/>
    </cacheField>
    <cacheField name="DAYS LEFT" numFmtId="0">
      <sharedItems containsSemiMixedTypes="0" containsString="0" containsNumber="1" containsInteger="1" minValue="3" maxValue="882"/>
    </cacheField>
    <cacheField name="EXPIRY STATUS" numFmtId="0">
      <sharedItems count="3">
        <s v="Far Expiry"/>
        <b v="0"/>
        <s v="Near Expiry"/>
      </sharedItems>
    </cacheField>
  </cacheFields>
  <extLst>
    <ext xmlns:x14="http://schemas.microsoft.com/office/spreadsheetml/2009/9/main" uri="{725AE2AE-9491-48be-B2B4-4EB974FC3084}">
      <x14:pivotCacheDefinition pivotCacheId="1504228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P001"/>
    <x v="0"/>
    <x v="0"/>
    <n v="50"/>
    <n v="10"/>
    <n v="86.49"/>
    <n v="128.66999999999999"/>
    <n v="9.34"/>
    <n v="127.25"/>
    <x v="0"/>
    <d v="2025-07-21T00:00:00"/>
    <s v="Detol"/>
    <s v="23p314403@acet.ac.in"/>
    <n v="0.05"/>
    <n v="122.23649999999998"/>
    <n v="40"/>
    <x v="0"/>
  </r>
  <r>
    <s v="P002"/>
    <x v="1"/>
    <x v="1"/>
    <n v="355"/>
    <n v="219"/>
    <n v="26.45"/>
    <n v="34.840000000000003"/>
    <n v="7.24"/>
    <n v="32.380000000000003"/>
    <x v="1"/>
    <d v="2025-07-22T00:00:00"/>
    <s v="Britannia"/>
    <s v="23p31a4442@acet.ac.in"/>
    <n v="0.4"/>
    <n v="20.904"/>
    <n v="136"/>
    <x v="1"/>
  </r>
  <r>
    <s v="P003"/>
    <x v="2"/>
    <x v="2"/>
    <n v="479"/>
    <n v="97"/>
    <n v="120.29"/>
    <n v="161.5"/>
    <n v="3.86"/>
    <n v="160.51"/>
    <x v="2"/>
    <d v="2025-07-10T00:00:00"/>
    <s v="ITC"/>
    <s v="23p31a4442@acet.ac.in"/>
    <n v="0.2"/>
    <n v="129.20000000000002"/>
    <n v="382"/>
    <x v="2"/>
  </r>
  <r>
    <s v="P004"/>
    <x v="0"/>
    <x v="3"/>
    <n v="139"/>
    <n v="3"/>
    <n v="199.19"/>
    <n v="289.98"/>
    <n v="7"/>
    <n v="283.45"/>
    <x v="3"/>
    <d v="2025-04-11T00:00:00"/>
    <s v="Hindustan Unilever"/>
    <s v="23p31a4403@acet.ac.in"/>
    <n v="0.05"/>
    <n v="275.48099999999999"/>
    <n v="136"/>
    <x v="3"/>
  </r>
  <r>
    <s v="P005"/>
    <x v="3"/>
    <x v="4"/>
    <n v="184"/>
    <n v="96"/>
    <n v="57.15"/>
    <n v="81.260000000000005"/>
    <n v="7.22"/>
    <n v="81.03"/>
    <x v="4"/>
    <d v="2025-07-19T00:00:00"/>
    <s v="Nestle"/>
    <s v="23p31a4442@acet.ac.in"/>
    <n v="0.05"/>
    <n v="77.197000000000003"/>
    <n v="88"/>
    <x v="4"/>
  </r>
  <r>
    <s v="P006"/>
    <x v="0"/>
    <x v="3"/>
    <n v="93"/>
    <n v="75"/>
    <n v="128.76"/>
    <n v="165.26"/>
    <n v="9.07"/>
    <n v="159.36000000000001"/>
    <x v="5"/>
    <d v="2025-05-26T00:00:00"/>
    <s v="Hindustan Unilever"/>
    <s v="23p31a4403@acet.ac.in"/>
    <n v="0.05"/>
    <n v="156.99699999999999"/>
    <n v="18"/>
    <x v="5"/>
  </r>
  <r>
    <s v="P007"/>
    <x v="4"/>
    <x v="5"/>
    <n v="222"/>
    <n v="73"/>
    <n v="82.46"/>
    <n v="117.51"/>
    <n v="2.95"/>
    <n v="117.51"/>
    <x v="6"/>
    <d v="2025-07-14T00:00:00"/>
    <s v="Amul"/>
    <s v="23p31a4403@acet.ac.in"/>
    <n v="0.05"/>
    <n v="111.6345"/>
    <n v="149"/>
    <x v="6"/>
  </r>
  <r>
    <s v="P008"/>
    <x v="1"/>
    <x v="6"/>
    <n v="154"/>
    <n v="122"/>
    <n v="24.5"/>
    <n v="30.68"/>
    <n v="4.5999999999999996"/>
    <n v="28.42"/>
    <x v="7"/>
    <d v="2025-04-12T00:00:00"/>
    <s v="ITC"/>
    <s v="23p31a4442@acet.ac.in"/>
    <n v="0.2"/>
    <n v="24.544"/>
    <n v="32"/>
    <x v="7"/>
  </r>
  <r>
    <s v="P009"/>
    <x v="5"/>
    <x v="7"/>
    <n v="222"/>
    <n v="132"/>
    <n v="152.97999999999999"/>
    <n v="205.29"/>
    <n v="6.22"/>
    <n v="202.74"/>
    <x v="8"/>
    <d v="2025-04-30T00:00:00"/>
    <s v="Godrej"/>
    <s v="23p31a4442@acet.ac.in"/>
    <n v="0.2"/>
    <n v="164.232"/>
    <n v="90"/>
    <x v="8"/>
  </r>
  <r>
    <s v="P010"/>
    <x v="3"/>
    <x v="8"/>
    <n v="450"/>
    <n v="331"/>
    <n v="70.400000000000006"/>
    <n v="100.06"/>
    <n v="4.42"/>
    <n v="97.87"/>
    <x v="9"/>
    <d v="2025-05-26T00:00:00"/>
    <s v="ITC"/>
    <s v="23p31a4442@acet.ac.in"/>
    <n v="0.4"/>
    <n v="60.036000000000001"/>
    <n v="119"/>
    <x v="9"/>
  </r>
  <r>
    <s v="P011"/>
    <x v="6"/>
    <x v="9"/>
    <n v="357"/>
    <n v="97"/>
    <n v="58.98"/>
    <n v="86.99"/>
    <n v="8.1199999999999992"/>
    <n v="81.19"/>
    <x v="10"/>
    <d v="2025-06-30T00:00:00"/>
    <s v="Coca Cola India"/>
    <s v="23p31a4442@acet.ac.in"/>
    <n v="0.05"/>
    <n v="82.640499999999989"/>
    <n v="260"/>
    <x v="10"/>
  </r>
  <r>
    <s v="P012"/>
    <x v="4"/>
    <x v="10"/>
    <n v="50"/>
    <n v="3"/>
    <n v="39.79"/>
    <n v="47.96"/>
    <n v="3.94"/>
    <n v="47.4"/>
    <x v="11"/>
    <d v="2025-05-06T00:00:00"/>
    <s v="Amul"/>
    <s v="23p31a4403@acet.ac.in"/>
    <n v="0.05"/>
    <n v="45.561999999999998"/>
    <n v="47"/>
    <x v="11"/>
  </r>
  <r>
    <s v="P013"/>
    <x v="0"/>
    <x v="11"/>
    <n v="103"/>
    <n v="52"/>
    <n v="51.69"/>
    <n v="63.02"/>
    <n v="3.33"/>
    <n v="62.28"/>
    <x v="12"/>
    <d v="2025-05-14T00:00:00"/>
    <s v="Detol"/>
    <s v="23p31a4403@acet.ac.in"/>
    <n v="0.05"/>
    <n v="59.869"/>
    <n v="51"/>
    <x v="12"/>
  </r>
  <r>
    <s v="P014"/>
    <x v="7"/>
    <x v="12"/>
    <n v="86"/>
    <n v="51"/>
    <n v="90.7"/>
    <n v="109.44"/>
    <n v="8.77"/>
    <n v="107.92"/>
    <x v="13"/>
    <d v="2025-04-20T00:00:00"/>
    <s v="Hindustan Unilever"/>
    <s v="23p31a42c0@acet.ac.in"/>
    <n v="0.05"/>
    <n v="103.96799999999999"/>
    <n v="35"/>
    <x v="13"/>
  </r>
  <r>
    <s v="P015"/>
    <x v="0"/>
    <x v="13"/>
    <n v="262"/>
    <n v="212"/>
    <n v="72.77"/>
    <n v="90.54"/>
    <n v="2.1800000000000002"/>
    <n v="89.94"/>
    <x v="14"/>
    <d v="2025-05-02T00:00:00"/>
    <s v="Colgate"/>
    <s v="23p31a4442@acet.ac.in"/>
    <n v="0.4"/>
    <n v="54.324000000000005"/>
    <n v="50"/>
    <x v="14"/>
  </r>
  <r>
    <s v="P016"/>
    <x v="0"/>
    <x v="14"/>
    <n v="88"/>
    <n v="42"/>
    <n v="121.56"/>
    <n v="175.77"/>
    <n v="1.72"/>
    <n v="175.25"/>
    <x v="15"/>
    <d v="2025-06-01T00:00:00"/>
    <s v="Colgate"/>
    <s v="23p31a4403@acet.ac.in"/>
    <n v="0.05"/>
    <n v="166.98150000000001"/>
    <n v="46"/>
    <x v="15"/>
  </r>
  <r>
    <s v="P017"/>
    <x v="1"/>
    <x v="15"/>
    <n v="483"/>
    <n v="62"/>
    <n v="54.59"/>
    <n v="73.06"/>
    <n v="3.1"/>
    <n v="70.459999999999994"/>
    <x v="16"/>
    <d v="2025-07-11T00:00:00"/>
    <s v="Britannia"/>
    <s v="23p31a4403@acet.ac.in"/>
    <n v="0.05"/>
    <n v="69.406999999999996"/>
    <n v="421"/>
    <x v="16"/>
  </r>
  <r>
    <s v="P018"/>
    <x v="5"/>
    <x v="16"/>
    <n v="369"/>
    <n v="70"/>
    <n v="146.13"/>
    <n v="210.75"/>
    <n v="5.18"/>
    <n v="209.63"/>
    <x v="17"/>
    <d v="2025-05-18T00:00:00"/>
    <s v="Godrej"/>
    <s v="23p31a4403@acet.ac.in"/>
    <n v="0.05"/>
    <n v="200.21249999999998"/>
    <n v="299"/>
    <x v="17"/>
  </r>
  <r>
    <s v="P019"/>
    <x v="4"/>
    <x v="17"/>
    <n v="215"/>
    <n v="128"/>
    <n v="20.8"/>
    <n v="30.73"/>
    <n v="5.0199999999999996"/>
    <n v="29.43"/>
    <x v="15"/>
    <d v="2025-05-22T00:00:00"/>
    <s v="Amul"/>
    <s v="23p31a4442@acet.ac.in"/>
    <n v="0.2"/>
    <n v="24.584000000000003"/>
    <n v="87"/>
    <x v="18"/>
  </r>
  <r>
    <s v="P020"/>
    <x v="0"/>
    <x v="18"/>
    <n v="459"/>
    <n v="71"/>
    <n v="158.04"/>
    <n v="236.93"/>
    <n v="5.75"/>
    <n v="234.52"/>
    <x v="18"/>
    <d v="2025-05-23T00:00:00"/>
    <s v="Detol"/>
    <s v="23p31a4403@acet.ac.in"/>
    <n v="0.2"/>
    <n v="189.54400000000001"/>
    <n v="388"/>
    <x v="19"/>
  </r>
  <r>
    <s v="P021"/>
    <x v="1"/>
    <x v="19"/>
    <n v="374"/>
    <n v="237"/>
    <n v="166.81"/>
    <n v="202.5"/>
    <n v="5.37"/>
    <n v="199.97"/>
    <x v="19"/>
    <d v="2025-05-17T00:00:00"/>
    <s v="Britannia"/>
    <s v="23p31a4442@acet.ac.in"/>
    <n v="0.4"/>
    <n v="121.5"/>
    <n v="137"/>
    <x v="20"/>
  </r>
  <r>
    <s v="P022"/>
    <x v="4"/>
    <x v="20"/>
    <n v="299"/>
    <n v="162"/>
    <n v="176.99"/>
    <n v="224.07"/>
    <n v="3.69"/>
    <n v="221.51"/>
    <x v="20"/>
    <d v="2025-04-03T00:00:00"/>
    <s v="Amul"/>
    <s v="23p31a4442@acet.ac.in"/>
    <n v="0.2"/>
    <n v="179.256"/>
    <n v="137"/>
    <x v="21"/>
  </r>
  <r>
    <s v="P023"/>
    <x v="1"/>
    <x v="1"/>
    <n v="349"/>
    <n v="111"/>
    <n v="70.599999999999994"/>
    <n v="90.59"/>
    <n v="4.7300000000000004"/>
    <n v="87.61"/>
    <x v="21"/>
    <d v="2025-06-28T00:00:00"/>
    <s v="Britannia"/>
    <s v="23p31a4442@acet.ac.in"/>
    <n v="0.2"/>
    <n v="72.472000000000008"/>
    <n v="238"/>
    <x v="22"/>
  </r>
  <r>
    <s v="P024"/>
    <x v="6"/>
    <x v="21"/>
    <n v="425"/>
    <n v="204"/>
    <n v="19.420000000000002"/>
    <n v="26.61"/>
    <n v="6.27"/>
    <n v="25.41"/>
    <x v="8"/>
    <d v="2025-04-23T00:00:00"/>
    <s v="PepsiCo"/>
    <s v="23p31a4442@acet.ac.in"/>
    <n v="0.4"/>
    <n v="15.965999999999999"/>
    <n v="221"/>
    <x v="23"/>
  </r>
  <r>
    <s v="P025"/>
    <x v="2"/>
    <x v="2"/>
    <n v="465"/>
    <n v="318"/>
    <n v="160.44999999999999"/>
    <n v="199.97"/>
    <n v="4.7300000000000004"/>
    <n v="199.81"/>
    <x v="22"/>
    <d v="2025-07-20T00:00:00"/>
    <s v="ITC"/>
    <s v="23p31a4442@acet.ac.in"/>
    <n v="0.4"/>
    <n v="119.982"/>
    <n v="147"/>
    <x v="24"/>
  </r>
  <r>
    <s v="P026"/>
    <x v="1"/>
    <x v="22"/>
    <n v="393"/>
    <n v="99"/>
    <n v="148.53"/>
    <n v="203.8"/>
    <n v="2.5"/>
    <n v="201.9"/>
    <x v="23"/>
    <d v="2025-06-27T00:00:00"/>
    <s v="Britannia"/>
    <s v="23p31a4442@acet.ac.in"/>
    <n v="0.05"/>
    <n v="193.61"/>
    <n v="294"/>
    <x v="25"/>
  </r>
  <r>
    <s v="P027"/>
    <x v="5"/>
    <x v="7"/>
    <n v="220"/>
    <n v="155"/>
    <n v="109.23"/>
    <n v="161.16"/>
    <n v="5.23"/>
    <n v="159.59"/>
    <x v="24"/>
    <d v="2025-05-10T00:00:00"/>
    <s v="Godrej"/>
    <s v="23p31a4442@acet.ac.in"/>
    <n v="0.2"/>
    <n v="128.928"/>
    <n v="65"/>
    <x v="26"/>
  </r>
  <r>
    <s v="P028"/>
    <x v="6"/>
    <x v="21"/>
    <n v="150"/>
    <n v="131"/>
    <n v="78.37"/>
    <n v="112.58"/>
    <n v="9.7200000000000006"/>
    <n v="106.99"/>
    <x v="25"/>
    <d v="2025-04-23T00:00:00"/>
    <s v="PepsiCo"/>
    <s v="23p31a4442@acet.ac.in"/>
    <n v="0.2"/>
    <n v="90.064000000000007"/>
    <n v="19"/>
    <x v="27"/>
  </r>
  <r>
    <s v="P029"/>
    <x v="3"/>
    <x v="8"/>
    <n v="355"/>
    <n v="225"/>
    <n v="65.540000000000006"/>
    <n v="82.3"/>
    <n v="4.5"/>
    <n v="79.39"/>
    <x v="26"/>
    <d v="2025-04-04T00:00:00"/>
    <s v="ITC"/>
    <s v="23p31a4442@acet.ac.in"/>
    <n v="0.4"/>
    <n v="49.379999999999995"/>
    <n v="130"/>
    <x v="28"/>
  </r>
  <r>
    <s v="P030"/>
    <x v="0"/>
    <x v="3"/>
    <n v="491"/>
    <n v="364"/>
    <n v="97.05"/>
    <n v="144.04"/>
    <n v="4.26"/>
    <n v="142.84"/>
    <x v="27"/>
    <d v="2025-07-12T00:00:00"/>
    <s v="Hindustan Unilever"/>
    <s v="23p31a4442@acet.ac.in"/>
    <n v="0.4"/>
    <n v="86.423999999999992"/>
    <n v="127"/>
    <x v="29"/>
  </r>
  <r>
    <s v="P031"/>
    <x v="1"/>
    <x v="22"/>
    <n v="202"/>
    <n v="135"/>
    <n v="188.69"/>
    <n v="270.08999999999997"/>
    <n v="4.5199999999999996"/>
    <n v="267.18"/>
    <x v="28"/>
    <d v="2025-06-17T00:00:00"/>
    <s v="Britannia"/>
    <s v="23p31a4442@acet.ac.in"/>
    <n v="0.2"/>
    <n v="216.072"/>
    <n v="67"/>
    <x v="30"/>
  </r>
  <r>
    <s v="P032"/>
    <x v="5"/>
    <x v="23"/>
    <n v="479"/>
    <n v="97"/>
    <n v="190.82"/>
    <n v="279.57"/>
    <n v="2.39"/>
    <n v="278.79000000000002"/>
    <x v="29"/>
    <d v="2025-06-26T00:00:00"/>
    <s v="ITC"/>
    <s v="23p31a4442@acet.ac.in"/>
    <n v="0.05"/>
    <n v="265.5915"/>
    <n v="382"/>
    <x v="31"/>
  </r>
  <r>
    <s v="P033"/>
    <x v="5"/>
    <x v="23"/>
    <n v="227"/>
    <n v="217"/>
    <n v="112.56"/>
    <n v="160.26"/>
    <n v="5.99"/>
    <n v="156.24"/>
    <x v="30"/>
    <d v="2025-04-10T00:00:00"/>
    <s v="ITC"/>
    <s v="23p31a4442@acet.ac.in"/>
    <n v="0.4"/>
    <n v="96.155999999999992"/>
    <n v="10"/>
    <x v="32"/>
  </r>
  <r>
    <s v="P034"/>
    <x v="3"/>
    <x v="4"/>
    <n v="338"/>
    <n v="279"/>
    <n v="64.22"/>
    <n v="89.88"/>
    <n v="5.44"/>
    <n v="87.6"/>
    <x v="31"/>
    <d v="2025-04-06T00:00:00"/>
    <s v="Nestle"/>
    <s v="23p31a4442@acet.ac.in"/>
    <n v="0.4"/>
    <n v="53.927999999999997"/>
    <n v="59"/>
    <x v="33"/>
  </r>
  <r>
    <s v="P035"/>
    <x v="6"/>
    <x v="21"/>
    <n v="434"/>
    <n v="341"/>
    <n v="160.30000000000001"/>
    <n v="226.21"/>
    <n v="1.41"/>
    <n v="225.33"/>
    <x v="32"/>
    <d v="2025-04-30T00:00:00"/>
    <s v="PepsiCo"/>
    <s v="23p31a4442@acet.ac.in"/>
    <n v="0.4"/>
    <n v="135.726"/>
    <n v="93"/>
    <x v="34"/>
  </r>
  <r>
    <s v="P036"/>
    <x v="5"/>
    <x v="23"/>
    <n v="474"/>
    <n v="265"/>
    <n v="11.28"/>
    <n v="15.05"/>
    <n v="8.48"/>
    <n v="7.63"/>
    <x v="33"/>
    <d v="2025-05-13T00:00:00"/>
    <s v="ITC"/>
    <s v="23p31a4442@acet.ac.in"/>
    <n v="0.4"/>
    <n v="9.0299999999999994"/>
    <n v="209"/>
    <x v="35"/>
  </r>
  <r>
    <s v="P037"/>
    <x v="5"/>
    <x v="7"/>
    <n v="448"/>
    <n v="17"/>
    <n v="92.83"/>
    <n v="118.25"/>
    <n v="1.28"/>
    <n v="117.86"/>
    <x v="34"/>
    <d v="2025-05-01T00:00:00"/>
    <s v="Godrej"/>
    <s v="23p31a4403@acet.ac.in"/>
    <n v="0.05"/>
    <n v="112.33749999999999"/>
    <n v="431"/>
    <x v="36"/>
  </r>
  <r>
    <s v="P038"/>
    <x v="0"/>
    <x v="24"/>
    <n v="435"/>
    <n v="217"/>
    <n v="171.94"/>
    <n v="233.98"/>
    <n v="2.08"/>
    <n v="232.28"/>
    <x v="35"/>
    <d v="2025-07-16T00:00:00"/>
    <s v="Colgate"/>
    <s v="23p31a4442@acet.ac.in"/>
    <n v="0.4"/>
    <n v="140.38799999999998"/>
    <n v="218"/>
    <x v="37"/>
  </r>
  <r>
    <s v="P039"/>
    <x v="0"/>
    <x v="3"/>
    <n v="73"/>
    <n v="55"/>
    <n v="40.51"/>
    <n v="52.88"/>
    <n v="8.57"/>
    <n v="51.38"/>
    <x v="36"/>
    <d v="2025-05-22T00:00:00"/>
    <s v="Hindustan Unilever"/>
    <s v="23p31a4403@acet.ac.in"/>
    <n v="0.05"/>
    <n v="50.235999999999997"/>
    <n v="18"/>
    <x v="38"/>
  </r>
  <r>
    <s v="P040"/>
    <x v="1"/>
    <x v="22"/>
    <n v="52"/>
    <n v="49"/>
    <n v="63"/>
    <n v="82.81"/>
    <n v="9.07"/>
    <n v="74.16"/>
    <x v="37"/>
    <d v="2025-04-28T00:00:00"/>
    <s v="Britannia"/>
    <s v="23p31a4403@acet.ac.in"/>
    <n v="0.05"/>
    <n v="78.669499999999999"/>
    <n v="3"/>
    <x v="39"/>
  </r>
  <r>
    <s v="P041"/>
    <x v="0"/>
    <x v="24"/>
    <n v="341"/>
    <n v="258"/>
    <n v="160.58000000000001"/>
    <n v="217.41"/>
    <n v="5.28"/>
    <n v="214.97"/>
    <x v="38"/>
    <d v="2025-04-12T00:00:00"/>
    <s v="Colgate"/>
    <s v="23p31a4442@acet.ac.in"/>
    <n v="0.4"/>
    <n v="130.446"/>
    <n v="83"/>
    <x v="40"/>
  </r>
  <r>
    <s v="P042"/>
    <x v="3"/>
    <x v="8"/>
    <n v="92"/>
    <n v="67"/>
    <n v="33.049999999999997"/>
    <n v="41.13"/>
    <n v="9.19"/>
    <n v="33.909999999999997"/>
    <x v="39"/>
    <d v="2025-06-23T00:00:00"/>
    <s v="ITC"/>
    <s v="23p31a4403@acet.ac.in"/>
    <n v="0.05"/>
    <n v="39.073500000000003"/>
    <n v="25"/>
    <x v="41"/>
  </r>
  <r>
    <s v="P043"/>
    <x v="6"/>
    <x v="9"/>
    <n v="402"/>
    <n v="104"/>
    <n v="175.74"/>
    <n v="231.91"/>
    <n v="7.81"/>
    <n v="228.9"/>
    <x v="40"/>
    <d v="2025-06-27T00:00:00"/>
    <s v="Coca Cola India"/>
    <s v="23p31a4442@acet.ac.in"/>
    <n v="0.2"/>
    <n v="185.52800000000002"/>
    <n v="298"/>
    <x v="42"/>
  </r>
  <r>
    <s v="P044"/>
    <x v="1"/>
    <x v="22"/>
    <n v="117"/>
    <n v="90"/>
    <n v="80.12"/>
    <n v="99.83"/>
    <n v="7.58"/>
    <n v="99.24"/>
    <x v="41"/>
    <d v="2025-04-04T00:00:00"/>
    <s v="Britannia"/>
    <s v="23p31a4442@acet.ac.in"/>
    <n v="0.05"/>
    <n v="94.838499999999996"/>
    <n v="27"/>
    <x v="43"/>
  </r>
  <r>
    <s v="P045"/>
    <x v="1"/>
    <x v="1"/>
    <n v="269"/>
    <n v="53"/>
    <n v="57.83"/>
    <n v="73.8"/>
    <n v="3.11"/>
    <n v="71.510000000000005"/>
    <x v="42"/>
    <d v="2025-04-22T00:00:00"/>
    <s v="Britannia"/>
    <s v="23p31a42c0@acet.ac.in"/>
    <n v="0.05"/>
    <n v="70.11"/>
    <n v="216"/>
    <x v="44"/>
  </r>
  <r>
    <s v="P046"/>
    <x v="0"/>
    <x v="0"/>
    <n v="158"/>
    <n v="153"/>
    <n v="131.15"/>
    <n v="171.18"/>
    <n v="1.74"/>
    <n v="171.18"/>
    <x v="43"/>
    <d v="2025-07-20T00:00:00"/>
    <s v="Detol"/>
    <s v="23p31a4442@acet.ac.in"/>
    <n v="0.2"/>
    <n v="136.94400000000002"/>
    <n v="5"/>
    <x v="45"/>
  </r>
  <r>
    <s v="P047"/>
    <x v="5"/>
    <x v="23"/>
    <n v="178"/>
    <n v="158"/>
    <n v="95.01"/>
    <n v="134.19"/>
    <n v="8.7799999999999994"/>
    <n v="132.91"/>
    <x v="44"/>
    <d v="2025-06-12T00:00:00"/>
    <s v="ITC"/>
    <s v="23p31a4442@acet.ac.in"/>
    <n v="0.2"/>
    <n v="107.352"/>
    <n v="20"/>
    <x v="46"/>
  </r>
  <r>
    <s v="P048"/>
    <x v="0"/>
    <x v="24"/>
    <n v="492"/>
    <n v="181"/>
    <n v="32.56"/>
    <n v="43.6"/>
    <n v="4.8899999999999997"/>
    <n v="39.380000000000003"/>
    <x v="45"/>
    <d v="2025-04-10T00:00:00"/>
    <s v="Colgate"/>
    <s v="23p31a4442@acet.ac.in"/>
    <n v="0.2"/>
    <n v="34.880000000000003"/>
    <n v="311"/>
    <x v="47"/>
  </r>
  <r>
    <s v="P049"/>
    <x v="3"/>
    <x v="8"/>
    <n v="87"/>
    <n v="31"/>
    <n v="144.6"/>
    <n v="175.98"/>
    <n v="3.9"/>
    <n v="175.8"/>
    <x v="46"/>
    <d v="2025-04-26T00:00:00"/>
    <s v="ITC"/>
    <s v="23p31a4403@acet.ac.in"/>
    <n v="0.4"/>
    <n v="105.58799999999999"/>
    <n v="56"/>
    <x v="48"/>
  </r>
  <r>
    <s v="P050"/>
    <x v="5"/>
    <x v="7"/>
    <n v="215"/>
    <n v="149"/>
    <n v="87.78"/>
    <n v="130.55000000000001"/>
    <n v="4.67"/>
    <n v="125.9"/>
    <x v="47"/>
    <d v="2025-06-03T00:00:00"/>
    <s v="Godrej"/>
    <s v="23p31a4442@acet.ac.in"/>
    <n v="0.2"/>
    <n v="104.44000000000001"/>
    <n v="66"/>
    <x v="49"/>
  </r>
  <r>
    <s v="P051"/>
    <x v="1"/>
    <x v="22"/>
    <n v="260"/>
    <n v="236"/>
    <n v="174.33"/>
    <n v="242.42"/>
    <n v="1.3"/>
    <n v="242.17"/>
    <x v="48"/>
    <d v="2025-06-24T00:00:00"/>
    <s v="Britannia"/>
    <s v="23p31a4442@acet.ac.in"/>
    <n v="0.4"/>
    <n v="145.452"/>
    <n v="24"/>
    <x v="50"/>
  </r>
  <r>
    <s v="P052"/>
    <x v="0"/>
    <x v="24"/>
    <n v="91"/>
    <n v="43"/>
    <n v="44.41"/>
    <n v="62.69"/>
    <n v="3.65"/>
    <n v="62.3"/>
    <x v="49"/>
    <d v="2025-07-17T00:00:00"/>
    <s v="Colgate"/>
    <s v="23p31a4403@acet.ac.in"/>
    <n v="0.05"/>
    <n v="59.555499999999995"/>
    <n v="48"/>
    <x v="51"/>
  </r>
  <r>
    <s v="P053"/>
    <x v="0"/>
    <x v="3"/>
    <n v="283"/>
    <n v="59"/>
    <n v="109.38"/>
    <n v="134.69"/>
    <n v="1.78"/>
    <n v="133.30000000000001"/>
    <x v="50"/>
    <d v="2025-05-09T00:00:00"/>
    <s v="Hindustan Unilever"/>
    <s v="23p31a4403@acet.ac.in"/>
    <n v="0.05"/>
    <n v="127.95549999999999"/>
    <n v="224"/>
    <x v="52"/>
  </r>
  <r>
    <s v="P054"/>
    <x v="3"/>
    <x v="4"/>
    <n v="360"/>
    <n v="235"/>
    <n v="178.46"/>
    <n v="257.86"/>
    <n v="2.14"/>
    <n v="255.73"/>
    <x v="51"/>
    <d v="2025-05-19T00:00:00"/>
    <s v="Nestle"/>
    <s v="23p31a4442@acet.ac.in"/>
    <n v="0.4"/>
    <n v="154.71600000000001"/>
    <n v="125"/>
    <x v="53"/>
  </r>
  <r>
    <s v="P055"/>
    <x v="0"/>
    <x v="24"/>
    <n v="142"/>
    <n v="29"/>
    <n v="126.8"/>
    <n v="160.16"/>
    <n v="7.01"/>
    <n v="158.97999999999999"/>
    <x v="52"/>
    <d v="2025-06-13T00:00:00"/>
    <s v="Colgate"/>
    <s v="23p31a4403@acet.ac.in"/>
    <n v="0.4"/>
    <n v="96.095999999999989"/>
    <n v="113"/>
    <x v="54"/>
  </r>
  <r>
    <s v="P056"/>
    <x v="3"/>
    <x v="4"/>
    <n v="362"/>
    <n v="182"/>
    <n v="106.93"/>
    <n v="132.13"/>
    <n v="1.43"/>
    <n v="131.63999999999999"/>
    <x v="53"/>
    <d v="2025-06-10T00:00:00"/>
    <s v="Nestle"/>
    <s v="23p31a4442@acet.ac.in"/>
    <n v="0.2"/>
    <n v="105.70400000000001"/>
    <n v="180"/>
    <x v="55"/>
  </r>
  <r>
    <s v="P057"/>
    <x v="3"/>
    <x v="4"/>
    <n v="294"/>
    <n v="133"/>
    <n v="96.63"/>
    <n v="122.6"/>
    <n v="7.19"/>
    <n v="117.38"/>
    <x v="54"/>
    <d v="2025-07-05T00:00:00"/>
    <s v="Nestle"/>
    <s v="23p31a4442@acet.ac.in"/>
    <n v="0.2"/>
    <n v="98.08"/>
    <n v="161"/>
    <x v="56"/>
  </r>
  <r>
    <s v="P058"/>
    <x v="3"/>
    <x v="4"/>
    <n v="121"/>
    <n v="96"/>
    <n v="39.67"/>
    <n v="51.69"/>
    <n v="8.06"/>
    <n v="49.27"/>
    <x v="55"/>
    <d v="2025-04-20T00:00:00"/>
    <s v="Nestle"/>
    <s v="23p31a4442@acet.ac.in"/>
    <n v="0.05"/>
    <n v="49.105499999999992"/>
    <n v="25"/>
    <x v="57"/>
  </r>
  <r>
    <s v="P059"/>
    <x v="6"/>
    <x v="21"/>
    <n v="319"/>
    <n v="36"/>
    <n v="177.91"/>
    <n v="221.11"/>
    <n v="7.8"/>
    <n v="218.18"/>
    <x v="56"/>
    <d v="2025-05-02T00:00:00"/>
    <s v="PepsiCo"/>
    <s v="23p31a4403@acet.ac.in"/>
    <n v="0.05"/>
    <n v="210.05449999999999"/>
    <n v="283"/>
    <x v="58"/>
  </r>
  <r>
    <s v="P060"/>
    <x v="3"/>
    <x v="4"/>
    <n v="302"/>
    <n v="260"/>
    <n v="30.2"/>
    <n v="40.380000000000003"/>
    <n v="9.5500000000000007"/>
    <n v="31.77"/>
    <x v="57"/>
    <d v="2025-06-15T00:00:00"/>
    <s v="Nestle"/>
    <s v="23p31a4442@acet.ac.in"/>
    <n v="0.4"/>
    <n v="24.228000000000002"/>
    <n v="42"/>
    <x v="59"/>
  </r>
  <r>
    <s v="P061"/>
    <x v="3"/>
    <x v="8"/>
    <n v="170"/>
    <n v="136"/>
    <n v="92.24"/>
    <n v="132.21"/>
    <n v="2.16"/>
    <n v="131.19999999999999"/>
    <x v="58"/>
    <d v="2025-06-22T00:00:00"/>
    <s v="ITC"/>
    <s v="23p31a4442@acet.ac.in"/>
    <n v="0.2"/>
    <n v="105.76800000000001"/>
    <n v="34"/>
    <x v="60"/>
  </r>
  <r>
    <s v="P062"/>
    <x v="1"/>
    <x v="22"/>
    <n v="80"/>
    <n v="23"/>
    <n v="131.16999999999999"/>
    <n v="179.42"/>
    <n v="5.26"/>
    <n v="175.77"/>
    <x v="59"/>
    <d v="2025-04-23T00:00:00"/>
    <s v="Britannia"/>
    <s v="23p31a4403@acet.ac.in"/>
    <n v="0.05"/>
    <n v="170.44899999999998"/>
    <n v="57"/>
    <x v="61"/>
  </r>
  <r>
    <s v="P063"/>
    <x v="6"/>
    <x v="21"/>
    <n v="368"/>
    <n v="242"/>
    <n v="189.84"/>
    <n v="263.20999999999998"/>
    <n v="9.94"/>
    <n v="262.70999999999998"/>
    <x v="60"/>
    <d v="2025-05-19T00:00:00"/>
    <s v="PepsiCo"/>
    <s v="23p31a4442@acet.ac.in"/>
    <n v="0.4"/>
    <n v="157.92599999999999"/>
    <n v="126"/>
    <x v="62"/>
  </r>
  <r>
    <s v="P064"/>
    <x v="7"/>
    <x v="25"/>
    <n v="486"/>
    <n v="212"/>
    <n v="37.799999999999997"/>
    <n v="54.59"/>
    <n v="5.89"/>
    <n v="53.22"/>
    <x v="61"/>
    <d v="2025-04-20T00:00:00"/>
    <s v="Hindustan Unilever"/>
    <s v="23p31a4442@acet.ac.in"/>
    <n v="0.4"/>
    <n v="32.753999999999998"/>
    <n v="274"/>
    <x v="63"/>
  </r>
  <r>
    <s v="P065"/>
    <x v="5"/>
    <x v="23"/>
    <n v="376"/>
    <n v="288"/>
    <n v="64.47"/>
    <n v="80.58"/>
    <n v="9.24"/>
    <n v="74.959999999999994"/>
    <x v="62"/>
    <d v="2025-04-13T00:00:00"/>
    <s v="ITC"/>
    <s v="23p31a4442@acet.ac.in"/>
    <n v="0.4"/>
    <n v="48.347999999999999"/>
    <n v="88"/>
    <x v="64"/>
  </r>
  <r>
    <s v="P066"/>
    <x v="0"/>
    <x v="24"/>
    <n v="466"/>
    <n v="403"/>
    <n v="193.18"/>
    <n v="234.5"/>
    <n v="5.61"/>
    <n v="229.74"/>
    <x v="63"/>
    <d v="2025-04-15T00:00:00"/>
    <s v="Colgate"/>
    <s v="23p31a4442@acet.ac.in"/>
    <n v="0.4"/>
    <n v="140.69999999999999"/>
    <n v="63"/>
    <x v="65"/>
  </r>
  <r>
    <s v="P067"/>
    <x v="0"/>
    <x v="24"/>
    <n v="400"/>
    <n v="390"/>
    <n v="64.12"/>
    <n v="87.96"/>
    <n v="5.39"/>
    <n v="87.23"/>
    <x v="64"/>
    <d v="2025-05-26T00:00:00"/>
    <s v="Colgate"/>
    <s v="23p31a4442@acet.ac.in"/>
    <n v="0.4"/>
    <n v="52.775999999999996"/>
    <n v="10"/>
    <x v="66"/>
  </r>
  <r>
    <s v="P068"/>
    <x v="0"/>
    <x v="0"/>
    <n v="119"/>
    <n v="20"/>
    <n v="58.38"/>
    <n v="86.21"/>
    <n v="4.03"/>
    <n v="83.99"/>
    <x v="65"/>
    <d v="2025-05-13T00:00:00"/>
    <s v="Detol"/>
    <s v="23p31a4403@acet.ac.in"/>
    <n v="0.05"/>
    <n v="81.899499999999989"/>
    <n v="99"/>
    <x v="67"/>
  </r>
  <r>
    <s v="P069"/>
    <x v="6"/>
    <x v="9"/>
    <n v="116"/>
    <n v="60"/>
    <n v="15.41"/>
    <n v="18.760000000000002"/>
    <n v="4.6900000000000004"/>
    <n v="17.52"/>
    <x v="66"/>
    <d v="2025-04-27T00:00:00"/>
    <s v="Coca Cola India"/>
    <s v="23p31a4403@acet.ac.in"/>
    <n v="0.05"/>
    <n v="17.821999999999999"/>
    <n v="56"/>
    <x v="68"/>
  </r>
  <r>
    <s v="P070"/>
    <x v="1"/>
    <x v="1"/>
    <n v="94"/>
    <n v="12"/>
    <n v="130.16999999999999"/>
    <n v="192.07"/>
    <n v="2.63"/>
    <n v="191.59"/>
    <x v="67"/>
    <d v="2025-04-03T00:00:00"/>
    <s v="Britannia"/>
    <s v="23p31a4403@acet.ac.in"/>
    <n v="0.05"/>
    <n v="182.4665"/>
    <n v="82"/>
    <x v="69"/>
  </r>
  <r>
    <s v="P071"/>
    <x v="0"/>
    <x v="24"/>
    <n v="289"/>
    <n v="268"/>
    <n v="47.71"/>
    <n v="67.17"/>
    <n v="7.82"/>
    <n v="61.9"/>
    <x v="68"/>
    <d v="2025-05-17T00:00:00"/>
    <s v="Colgate"/>
    <s v="23p31a4442@acet.ac.in"/>
    <n v="0.4"/>
    <n v="40.302"/>
    <n v="21"/>
    <x v="70"/>
  </r>
  <r>
    <s v="P072"/>
    <x v="2"/>
    <x v="2"/>
    <n v="281"/>
    <n v="106"/>
    <n v="169.21"/>
    <n v="236.28"/>
    <n v="4.1900000000000004"/>
    <n v="236.14"/>
    <x v="69"/>
    <d v="2025-06-07T00:00:00"/>
    <s v="ITC"/>
    <s v="23p31a4442@acet.ac.in"/>
    <n v="0.2"/>
    <n v="189.024"/>
    <n v="175"/>
    <x v="71"/>
  </r>
  <r>
    <s v="P073"/>
    <x v="5"/>
    <x v="7"/>
    <n v="256"/>
    <n v="251"/>
    <n v="64.459999999999994"/>
    <n v="85.86"/>
    <n v="7.9"/>
    <n v="81.41"/>
    <x v="70"/>
    <d v="2025-07-01T00:00:00"/>
    <s v="Godrej"/>
    <s v="23p31a4442@acet.ac.in"/>
    <n v="0.4"/>
    <n v="51.515999999999998"/>
    <n v="5"/>
    <x v="72"/>
  </r>
  <r>
    <s v="P074"/>
    <x v="7"/>
    <x v="25"/>
    <n v="408"/>
    <n v="378"/>
    <n v="113.7"/>
    <n v="159.87"/>
    <n v="5.14"/>
    <n v="154.75"/>
    <x v="71"/>
    <d v="2025-05-03T00:00:00"/>
    <s v="Hindustan Unilever"/>
    <s v="23p31a4442@acet.ac.in"/>
    <n v="0.4"/>
    <n v="95.921999999999997"/>
    <n v="30"/>
    <x v="73"/>
  </r>
  <r>
    <s v="P075"/>
    <x v="1"/>
    <x v="6"/>
    <n v="347"/>
    <n v="19"/>
    <n v="107.04"/>
    <n v="135.77000000000001"/>
    <n v="4.4400000000000004"/>
    <n v="131.51"/>
    <x v="72"/>
    <d v="2025-06-16T00:00:00"/>
    <s v="ITC"/>
    <s v="23p31a4403@acet.ac.in"/>
    <n v="0.05"/>
    <n v="128.98150000000001"/>
    <n v="328"/>
    <x v="74"/>
  </r>
  <r>
    <s v="P076"/>
    <x v="3"/>
    <x v="8"/>
    <n v="134"/>
    <n v="94"/>
    <n v="117.26"/>
    <n v="163.97"/>
    <n v="9.0500000000000007"/>
    <n v="162.55000000000001"/>
    <x v="73"/>
    <d v="2025-04-13T00:00:00"/>
    <s v="ITC"/>
    <s v="23p31a4442@acet.ac.in"/>
    <n v="0.05"/>
    <n v="155.7715"/>
    <n v="40"/>
    <x v="75"/>
  </r>
  <r>
    <s v="P077"/>
    <x v="0"/>
    <x v="3"/>
    <n v="384"/>
    <n v="59"/>
    <n v="166.94"/>
    <n v="212.45"/>
    <n v="3.17"/>
    <n v="210.25"/>
    <x v="35"/>
    <d v="2025-04-10T00:00:00"/>
    <s v="Hindustan Unilever"/>
    <s v="23p31a4403@acet.ac.in"/>
    <n v="0.4"/>
    <n v="127.46999999999998"/>
    <n v="325"/>
    <x v="76"/>
  </r>
  <r>
    <s v="P078"/>
    <x v="4"/>
    <x v="26"/>
    <n v="471"/>
    <n v="377"/>
    <n v="178.51"/>
    <n v="219.79"/>
    <n v="4.5199999999999996"/>
    <n v="217.91"/>
    <x v="74"/>
    <d v="2025-05-23T00:00:00"/>
    <s v="Nestle"/>
    <s v="23p31a4442@acet.ac.in"/>
    <n v="0.4"/>
    <n v="131.874"/>
    <n v="94"/>
    <x v="77"/>
  </r>
  <r>
    <s v="P079"/>
    <x v="0"/>
    <x v="3"/>
    <n v="253"/>
    <n v="92"/>
    <n v="23.26"/>
    <n v="31.73"/>
    <n v="6.02"/>
    <n v="30.07"/>
    <x v="75"/>
    <d v="2025-06-15T00:00:00"/>
    <s v="Hindustan Unilever"/>
    <s v="23p31a4442@acet.ac.in"/>
    <n v="0.05"/>
    <n v="30.1435"/>
    <n v="161"/>
    <x v="78"/>
  </r>
  <r>
    <s v="P080"/>
    <x v="5"/>
    <x v="23"/>
    <n v="52"/>
    <n v="29"/>
    <n v="196.05"/>
    <n v="251.46"/>
    <n v="9.58"/>
    <n v="242.03"/>
    <x v="76"/>
    <d v="2025-05-18T00:00:00"/>
    <s v="ITC"/>
    <s v="23p31a4403@acet.ac.in"/>
    <n v="0.05"/>
    <n v="238.887"/>
    <n v="23"/>
    <x v="79"/>
  </r>
  <r>
    <s v="P081"/>
    <x v="5"/>
    <x v="7"/>
    <n v="330"/>
    <n v="242"/>
    <n v="167.64"/>
    <n v="219.65"/>
    <n v="9.7100000000000009"/>
    <n v="213.48"/>
    <x v="77"/>
    <d v="2025-04-24T00:00:00"/>
    <s v="Godrej"/>
    <s v="23p31a4442@acet.ac.in"/>
    <n v="0.4"/>
    <n v="131.79"/>
    <n v="88"/>
    <x v="80"/>
  </r>
  <r>
    <s v="P082"/>
    <x v="5"/>
    <x v="23"/>
    <n v="414"/>
    <n v="320"/>
    <n v="87.84"/>
    <n v="118.31"/>
    <n v="7.46"/>
    <n v="115.16"/>
    <x v="78"/>
    <d v="2025-06-30T00:00:00"/>
    <s v="ITC"/>
    <s v="23p31a4442@acet.ac.in"/>
    <n v="0.4"/>
    <n v="70.986000000000004"/>
    <n v="94"/>
    <x v="81"/>
  </r>
  <r>
    <s v="P083"/>
    <x v="6"/>
    <x v="21"/>
    <n v="204"/>
    <n v="145"/>
    <n v="105.56"/>
    <n v="152.03"/>
    <n v="8.5"/>
    <n v="143.69"/>
    <x v="79"/>
    <d v="2025-07-19T00:00:00"/>
    <s v="PepsiCo"/>
    <s v="23p31a4442@acet.ac.in"/>
    <n v="0.2"/>
    <n v="121.62400000000001"/>
    <n v="59"/>
    <x v="82"/>
  </r>
  <r>
    <s v="P084"/>
    <x v="7"/>
    <x v="25"/>
    <n v="285"/>
    <n v="257"/>
    <n v="38.200000000000003"/>
    <n v="52.34"/>
    <n v="8.09"/>
    <n v="52.22"/>
    <x v="80"/>
    <d v="2025-07-15T00:00:00"/>
    <s v="Hindustan Unilever"/>
    <s v="23p31a4442@acet.ac.in"/>
    <n v="0.4"/>
    <n v="31.404"/>
    <n v="28"/>
    <x v="83"/>
  </r>
  <r>
    <s v="P085"/>
    <x v="1"/>
    <x v="6"/>
    <n v="139"/>
    <n v="67"/>
    <n v="134.97"/>
    <n v="187.54"/>
    <n v="8.4600000000000009"/>
    <n v="185.79"/>
    <x v="81"/>
    <d v="2025-07-18T00:00:00"/>
    <s v="ITC"/>
    <s v="23p31a4442@acet.ac.in"/>
    <n v="0.05"/>
    <n v="178.16299999999998"/>
    <n v="72"/>
    <x v="84"/>
  </r>
  <r>
    <s v="P086"/>
    <x v="5"/>
    <x v="7"/>
    <n v="234"/>
    <n v="129"/>
    <n v="17.43"/>
    <n v="23.23"/>
    <n v="7.74"/>
    <n v="20.73"/>
    <x v="82"/>
    <d v="2025-05-28T00:00:00"/>
    <s v="Godrej"/>
    <s v="23p31a4442@acet.ac.in"/>
    <n v="0.2"/>
    <n v="18.584"/>
    <n v="105"/>
    <x v="85"/>
  </r>
  <r>
    <s v="P087"/>
    <x v="4"/>
    <x v="27"/>
    <n v="350"/>
    <n v="252"/>
    <n v="92.7"/>
    <n v="136.21"/>
    <n v="5.39"/>
    <n v="134.08000000000001"/>
    <x v="83"/>
    <d v="2025-04-24T00:00:00"/>
    <s v="Amul"/>
    <s v="23p31a4442@acet.ac.in"/>
    <n v="0.4"/>
    <n v="81.725999999999999"/>
    <n v="98"/>
    <x v="86"/>
  </r>
  <r>
    <s v="P088"/>
    <x v="0"/>
    <x v="3"/>
    <n v="239"/>
    <n v="108"/>
    <n v="36.67"/>
    <n v="48.15"/>
    <n v="9.8000000000000007"/>
    <n v="39.700000000000003"/>
    <x v="84"/>
    <d v="2025-06-20T00:00:00"/>
    <s v="Hindustan Unilever"/>
    <s v="23p31a4442@acet.ac.in"/>
    <n v="0.2"/>
    <n v="38.520000000000003"/>
    <n v="131"/>
    <x v="87"/>
  </r>
  <r>
    <s v="P089"/>
    <x v="6"/>
    <x v="21"/>
    <n v="252"/>
    <n v="113"/>
    <n v="89.82"/>
    <n v="113.36"/>
    <n v="7.5"/>
    <n v="112.1"/>
    <x v="85"/>
    <d v="2025-06-21T00:00:00"/>
    <s v="PepsiCo"/>
    <s v="23p31a4442@acet.ac.in"/>
    <n v="0.2"/>
    <n v="90.688000000000002"/>
    <n v="139"/>
    <x v="88"/>
  </r>
  <r>
    <s v="P090"/>
    <x v="6"/>
    <x v="21"/>
    <n v="329"/>
    <n v="249"/>
    <n v="53.25"/>
    <n v="67.53"/>
    <n v="1.71"/>
    <n v="66.260000000000005"/>
    <x v="86"/>
    <d v="2025-05-11T00:00:00"/>
    <s v="PepsiCo"/>
    <s v="23p31a4442@acet.ac.in"/>
    <n v="0.4"/>
    <n v="40.518000000000001"/>
    <n v="80"/>
    <x v="89"/>
  </r>
  <r>
    <s v="P091"/>
    <x v="5"/>
    <x v="23"/>
    <n v="179"/>
    <n v="91"/>
    <n v="32.119999999999997"/>
    <n v="46.46"/>
    <n v="3.56"/>
    <n v="44.3"/>
    <x v="44"/>
    <d v="2025-06-18T00:00:00"/>
    <s v="ITC"/>
    <s v="23p31a4442@acet.ac.in"/>
    <n v="0.05"/>
    <n v="44.137"/>
    <n v="88"/>
    <x v="90"/>
  </r>
  <r>
    <s v="P092"/>
    <x v="1"/>
    <x v="1"/>
    <n v="137"/>
    <n v="72"/>
    <n v="164.51"/>
    <n v="209.04"/>
    <n v="6.68"/>
    <n v="202.41"/>
    <x v="87"/>
    <d v="2025-06-07T00:00:00"/>
    <s v="Britannia"/>
    <s v="23p31a4403@acet.ac.in"/>
    <n v="0.05"/>
    <n v="198.58799999999999"/>
    <n v="65"/>
    <x v="91"/>
  </r>
  <r>
    <s v="P093"/>
    <x v="3"/>
    <x v="4"/>
    <n v="488"/>
    <n v="413"/>
    <n v="102.05"/>
    <n v="144.96"/>
    <n v="9.61"/>
    <n v="135.52000000000001"/>
    <x v="88"/>
    <d v="2025-06-26T00:00:00"/>
    <s v="Nestle"/>
    <s v="23p31a4442@acet.ac.in"/>
    <n v="0.4"/>
    <n v="86.975999999999999"/>
    <n v="75"/>
    <x v="92"/>
  </r>
  <r>
    <s v="P094"/>
    <x v="0"/>
    <x v="0"/>
    <n v="359"/>
    <n v="258"/>
    <n v="67.959999999999994"/>
    <n v="93.21"/>
    <n v="5.62"/>
    <n v="88"/>
    <x v="79"/>
    <d v="2025-04-01T00:00:00"/>
    <s v="Detol"/>
    <s v="23p31a4442@acet.ac.in"/>
    <n v="0.4"/>
    <n v="55.925999999999995"/>
    <n v="101"/>
    <x v="93"/>
  </r>
  <r>
    <s v="P095"/>
    <x v="1"/>
    <x v="1"/>
    <n v="124"/>
    <n v="86"/>
    <n v="72.23"/>
    <n v="102.34"/>
    <n v="1.53"/>
    <n v="101.03"/>
    <x v="89"/>
    <d v="2025-05-14T00:00:00"/>
    <s v="Britannia"/>
    <s v="23p31a4442@acet.ac.in"/>
    <n v="0.05"/>
    <n v="97.222999999999999"/>
    <n v="38"/>
    <x v="94"/>
  </r>
  <r>
    <s v="P096"/>
    <x v="4"/>
    <x v="28"/>
    <n v="417"/>
    <n v="25"/>
    <n v="127.97"/>
    <n v="176.07"/>
    <n v="9.61"/>
    <n v="175.59"/>
    <x v="90"/>
    <d v="2025-04-25T00:00:00"/>
    <s v="Amul"/>
    <s v="23p31a4403@acet.ac.in"/>
    <n v="0.05"/>
    <n v="167.26649999999998"/>
    <n v="392"/>
    <x v="95"/>
  </r>
  <r>
    <s v="P097"/>
    <x v="0"/>
    <x v="24"/>
    <n v="203"/>
    <n v="49"/>
    <n v="22.77"/>
    <n v="29.35"/>
    <n v="8.4499999999999993"/>
    <n v="27.95"/>
    <x v="91"/>
    <d v="2025-06-15T00:00:00"/>
    <s v="Colgate"/>
    <s v="23p31a4403@acet.ac.in"/>
    <n v="0.05"/>
    <n v="27.8825"/>
    <n v="154"/>
    <x v="96"/>
  </r>
  <r>
    <s v="P098"/>
    <x v="6"/>
    <x v="9"/>
    <n v="234"/>
    <n v="171"/>
    <n v="148.66999999999999"/>
    <n v="198.54"/>
    <n v="5.28"/>
    <n v="194.19"/>
    <x v="92"/>
    <d v="2025-05-19T00:00:00"/>
    <s v="Coca Cola India"/>
    <s v="23p31a4442@acet.ac.in"/>
    <n v="0.2"/>
    <n v="158.83199999999999"/>
    <n v="63"/>
    <x v="97"/>
  </r>
  <r>
    <s v="P099"/>
    <x v="6"/>
    <x v="21"/>
    <n v="142"/>
    <n v="72"/>
    <n v="124.38"/>
    <n v="166.52"/>
    <n v="9.01"/>
    <n v="161.91999999999999"/>
    <x v="76"/>
    <d v="2025-06-01T00:00:00"/>
    <s v="PepsiCo"/>
    <s v="23p31a4403@acet.ac.in"/>
    <n v="0.05"/>
    <n v="158.19399999999999"/>
    <n v="70"/>
    <x v="98"/>
  </r>
  <r>
    <s v="P100"/>
    <x v="1"/>
    <x v="6"/>
    <n v="411"/>
    <n v="246"/>
    <n v="184.84"/>
    <n v="236.32"/>
    <n v="8.86"/>
    <n v="232.74"/>
    <x v="93"/>
    <d v="2025-06-29T00:00:00"/>
    <s v="ITC"/>
    <s v="23p31a4442@acet.ac.in"/>
    <n v="0.4"/>
    <n v="141.792"/>
    <n v="165"/>
    <x v="99"/>
  </r>
  <r>
    <s v="P101"/>
    <x v="7"/>
    <x v="25"/>
    <n v="307"/>
    <n v="140"/>
    <n v="43.77"/>
    <n v="52.76"/>
    <n v="6.75"/>
    <n v="46.68"/>
    <x v="94"/>
    <d v="2025-07-07T00:00:00"/>
    <s v="Hindustan Unilever"/>
    <s v="23p31a4442@acet.ac.in"/>
    <n v="0.2"/>
    <n v="42.207999999999998"/>
    <n v="167"/>
    <x v="100"/>
  </r>
  <r>
    <s v="P102"/>
    <x v="6"/>
    <x v="21"/>
    <n v="329"/>
    <n v="6"/>
    <n v="198.61"/>
    <n v="277.48"/>
    <n v="5.7"/>
    <n v="272.04000000000002"/>
    <x v="95"/>
    <d v="2025-06-03T00:00:00"/>
    <s v="PepsiCo"/>
    <s v="23p31a4403@acet.ac.in"/>
    <n v="0.05"/>
    <n v="263.60599999999999"/>
    <n v="323"/>
    <x v="101"/>
  </r>
  <r>
    <s v="P103"/>
    <x v="7"/>
    <x v="25"/>
    <n v="430"/>
    <n v="141"/>
    <n v="161.94"/>
    <n v="219.24"/>
    <n v="9.4700000000000006"/>
    <n v="214.18"/>
    <x v="96"/>
    <d v="2025-05-18T00:00:00"/>
    <s v="Hindustan Unilever"/>
    <s v="23p31a4442@acet.ac.in"/>
    <n v="0.2"/>
    <n v="175.39200000000002"/>
    <n v="289"/>
    <x v="102"/>
  </r>
  <r>
    <s v="P104"/>
    <x v="0"/>
    <x v="24"/>
    <n v="214"/>
    <n v="179"/>
    <n v="186.06"/>
    <n v="265.27999999999997"/>
    <n v="2.9"/>
    <n v="263.97000000000003"/>
    <x v="93"/>
    <d v="2025-07-22T00:00:00"/>
    <s v="Colgate"/>
    <s v="23p31a4442@acet.ac.in"/>
    <n v="0.2"/>
    <n v="212.22399999999999"/>
    <n v="35"/>
    <x v="103"/>
  </r>
  <r>
    <s v="P105"/>
    <x v="5"/>
    <x v="7"/>
    <n v="266"/>
    <n v="12"/>
    <n v="198.88"/>
    <n v="297.36"/>
    <n v="6.45"/>
    <n v="296.49"/>
    <x v="97"/>
    <d v="2025-05-11T00:00:00"/>
    <s v="Godrej"/>
    <s v="23p31a4403@acet.ac.in"/>
    <n v="0.05"/>
    <n v="282.49200000000002"/>
    <n v="254"/>
    <x v="104"/>
  </r>
  <r>
    <s v="P106"/>
    <x v="0"/>
    <x v="24"/>
    <n v="332"/>
    <n v="150"/>
    <n v="197.35"/>
    <n v="291.61"/>
    <n v="6.07"/>
    <n v="285.66000000000003"/>
    <x v="98"/>
    <d v="2025-05-14T00:00:00"/>
    <s v="Colgate"/>
    <s v="23p31a4442@acet.ac.in"/>
    <n v="0.2"/>
    <n v="233.28800000000001"/>
    <n v="182"/>
    <x v="105"/>
  </r>
  <r>
    <s v="P107"/>
    <x v="7"/>
    <x v="25"/>
    <n v="462"/>
    <n v="40"/>
    <n v="46.76"/>
    <n v="58.53"/>
    <n v="8.4499999999999993"/>
    <n v="55.04"/>
    <x v="99"/>
    <d v="2025-06-24T00:00:00"/>
    <s v="Hindustan Unilever"/>
    <s v="23p31a4403@acet.ac.in"/>
    <n v="0.05"/>
    <n v="55.603499999999997"/>
    <n v="422"/>
    <x v="106"/>
  </r>
  <r>
    <s v="P108"/>
    <x v="0"/>
    <x v="0"/>
    <n v="130"/>
    <n v="25"/>
    <n v="133.69999999999999"/>
    <n v="193.24"/>
    <n v="4.59"/>
    <n v="188.82"/>
    <x v="100"/>
    <d v="2025-06-17T00:00:00"/>
    <s v="Detol"/>
    <s v="23p31a4403@acet.ac.in"/>
    <n v="0.05"/>
    <n v="183.578"/>
    <n v="105"/>
    <x v="107"/>
  </r>
  <r>
    <s v="P109"/>
    <x v="7"/>
    <x v="25"/>
    <n v="296"/>
    <n v="20"/>
    <n v="134.82"/>
    <n v="162.66999999999999"/>
    <n v="8.19"/>
    <n v="161.41999999999999"/>
    <x v="101"/>
    <d v="2025-04-12T00:00:00"/>
    <s v="Hindustan Unilever"/>
    <s v="23p31a4403@acet.ac.in"/>
    <n v="0.05"/>
    <n v="154.53649999999999"/>
    <n v="276"/>
    <x v="108"/>
  </r>
  <r>
    <s v="P110"/>
    <x v="1"/>
    <x v="22"/>
    <n v="484"/>
    <n v="66"/>
    <n v="149.56"/>
    <n v="221.85"/>
    <n v="6.59"/>
    <n v="217.71"/>
    <x v="102"/>
    <d v="2025-06-12T00:00:00"/>
    <s v="Britannia"/>
    <s v="23p31a4403@acet.ac.in"/>
    <n v="0.05"/>
    <n v="210.75749999999999"/>
    <n v="418"/>
    <x v="109"/>
  </r>
  <r>
    <s v="P111"/>
    <x v="7"/>
    <x v="25"/>
    <n v="306"/>
    <n v="6"/>
    <n v="84.92"/>
    <n v="126.67"/>
    <n v="7.52"/>
    <n v="123.14"/>
    <x v="103"/>
    <d v="2025-07-14T00:00:00"/>
    <s v="Hindustan Unilever"/>
    <s v="23p31a4403@acet.ac.in"/>
    <n v="0.05"/>
    <n v="120.3365"/>
    <n v="300"/>
    <x v="110"/>
  </r>
  <r>
    <s v="P112"/>
    <x v="5"/>
    <x v="23"/>
    <n v="125"/>
    <n v="123"/>
    <n v="49.59"/>
    <n v="67.59"/>
    <n v="2.04"/>
    <n v="66.03"/>
    <x v="104"/>
    <d v="2025-04-20T00:00:00"/>
    <s v="ITC"/>
    <s v="23p31a4442@acet.ac.in"/>
    <n v="0.2"/>
    <n v="54.072000000000003"/>
    <n v="2"/>
    <x v="111"/>
  </r>
  <r>
    <s v="P113"/>
    <x v="5"/>
    <x v="7"/>
    <n v="372"/>
    <n v="199"/>
    <n v="139.94999999999999"/>
    <n v="179.4"/>
    <n v="6.45"/>
    <n v="174.32"/>
    <x v="105"/>
    <d v="2025-04-06T00:00:00"/>
    <s v="Godrej"/>
    <s v="23p31a4442@acet.ac.in"/>
    <n v="0.2"/>
    <n v="143.52000000000001"/>
    <n v="173"/>
    <x v="112"/>
  </r>
  <r>
    <s v="P114"/>
    <x v="5"/>
    <x v="23"/>
    <n v="444"/>
    <n v="426"/>
    <n v="138.61000000000001"/>
    <n v="205.78"/>
    <n v="1.43"/>
    <n v="204.83"/>
    <x v="43"/>
    <d v="2025-07-13T00:00:00"/>
    <s v="ITC"/>
    <s v="23p31a4442@acet.ac.in"/>
    <n v="0.4"/>
    <n v="123.46799999999999"/>
    <n v="18"/>
    <x v="113"/>
  </r>
  <r>
    <s v="P115"/>
    <x v="5"/>
    <x v="23"/>
    <n v="193"/>
    <n v="178"/>
    <n v="126.84"/>
    <n v="167.88"/>
    <n v="5.18"/>
    <n v="164.41"/>
    <x v="90"/>
    <d v="2025-04-13T00:00:00"/>
    <s v="ITC"/>
    <s v="23p31a4442@acet.ac.in"/>
    <n v="0.2"/>
    <n v="134.304"/>
    <n v="15"/>
    <x v="114"/>
  </r>
  <r>
    <s v="P116"/>
    <x v="1"/>
    <x v="1"/>
    <n v="275"/>
    <n v="224"/>
    <n v="186.28"/>
    <n v="228.4"/>
    <n v="1.19"/>
    <n v="227.92"/>
    <x v="106"/>
    <d v="2025-05-02T00:00:00"/>
    <s v="Britannia"/>
    <s v="23p31a4442@acet.ac.in"/>
    <n v="0.4"/>
    <n v="137.04"/>
    <n v="51"/>
    <x v="115"/>
  </r>
  <r>
    <s v="P117"/>
    <x v="6"/>
    <x v="21"/>
    <n v="243"/>
    <n v="153"/>
    <n v="87.2"/>
    <n v="107.23"/>
    <n v="7.17"/>
    <n v="104.69"/>
    <x v="107"/>
    <d v="2025-05-03T00:00:00"/>
    <s v="PepsiCo"/>
    <s v="23p31a4442@acet.ac.in"/>
    <n v="0.2"/>
    <n v="85.784000000000006"/>
    <n v="90"/>
    <x v="116"/>
  </r>
  <r>
    <s v="P118"/>
    <x v="0"/>
    <x v="0"/>
    <n v="73"/>
    <n v="2"/>
    <n v="42.91"/>
    <n v="54.02"/>
    <n v="1.78"/>
    <n v="53.67"/>
    <x v="108"/>
    <d v="2025-05-24T00:00:00"/>
    <s v="Detol"/>
    <s v="23p31a4403@acet.ac.in"/>
    <n v="0.05"/>
    <n v="51.319000000000003"/>
    <n v="71"/>
    <x v="117"/>
  </r>
  <r>
    <s v="P119"/>
    <x v="5"/>
    <x v="7"/>
    <n v="123"/>
    <n v="4"/>
    <n v="124.92"/>
    <n v="167.65"/>
    <n v="2.95"/>
    <n v="166.95"/>
    <x v="109"/>
    <d v="2025-04-26T00:00:00"/>
    <s v="Godrej"/>
    <s v="23p31a4403@acet.ac.in"/>
    <n v="0.05"/>
    <n v="159.26749999999998"/>
    <n v="119"/>
    <x v="118"/>
  </r>
  <r>
    <s v="P120"/>
    <x v="1"/>
    <x v="1"/>
    <n v="432"/>
    <n v="29"/>
    <n v="130.08000000000001"/>
    <n v="186.19"/>
    <n v="1.54"/>
    <n v="184.9"/>
    <x v="110"/>
    <d v="2025-05-15T00:00:00"/>
    <s v="Britannia"/>
    <s v="23p31a4403@acet.ac.in"/>
    <n v="0.05"/>
    <n v="176.88049999999998"/>
    <n v="403"/>
    <x v="119"/>
  </r>
  <r>
    <s v="P121"/>
    <x v="6"/>
    <x v="21"/>
    <n v="206"/>
    <n v="104"/>
    <n v="174.2"/>
    <n v="213.36"/>
    <n v="6.12"/>
    <n v="209.29"/>
    <x v="111"/>
    <d v="2025-04-27T00:00:00"/>
    <s v="PepsiCo"/>
    <s v="23p31a4442@acet.ac.in"/>
    <n v="0.2"/>
    <n v="170.68800000000002"/>
    <n v="102"/>
    <x v="120"/>
  </r>
  <r>
    <s v="P122"/>
    <x v="3"/>
    <x v="4"/>
    <n v="400"/>
    <n v="83"/>
    <n v="18.86"/>
    <n v="26.81"/>
    <n v="4.0199999999999996"/>
    <n v="26.73"/>
    <x v="112"/>
    <d v="2025-05-04T00:00:00"/>
    <s v="Nestle"/>
    <s v="23p31a4442@acet.ac.in"/>
    <n v="0.05"/>
    <n v="25.469499999999996"/>
    <n v="317"/>
    <x v="121"/>
  </r>
  <r>
    <s v="P123"/>
    <x v="1"/>
    <x v="1"/>
    <n v="414"/>
    <n v="282"/>
    <n v="159.72"/>
    <n v="220.2"/>
    <n v="1.62"/>
    <n v="218.88"/>
    <x v="113"/>
    <d v="2025-04-12T00:00:00"/>
    <s v="Britannia"/>
    <s v="23p31a4442@acet.ac.in"/>
    <n v="0.4"/>
    <n v="132.11999999999998"/>
    <n v="132"/>
    <x v="122"/>
  </r>
  <r>
    <s v="P124"/>
    <x v="1"/>
    <x v="22"/>
    <n v="407"/>
    <n v="26"/>
    <n v="50.46"/>
    <n v="65.38"/>
    <n v="6.78"/>
    <n v="61.23"/>
    <x v="114"/>
    <d v="2025-06-24T00:00:00"/>
    <s v="Britannia"/>
    <s v="23p31a4403@acet.ac.in"/>
    <n v="0.05"/>
    <n v="62.11099999999999"/>
    <n v="381"/>
    <x v="123"/>
  </r>
  <r>
    <s v="P125"/>
    <x v="3"/>
    <x v="4"/>
    <n v="484"/>
    <n v="4"/>
    <n v="122.54"/>
    <n v="159.36000000000001"/>
    <n v="8.26"/>
    <n v="156.52000000000001"/>
    <x v="115"/>
    <d v="2025-04-12T00:00:00"/>
    <s v="Nestle"/>
    <s v="23p31a4403@acet.ac.in"/>
    <n v="0.05"/>
    <n v="151.392"/>
    <n v="480"/>
    <x v="124"/>
  </r>
  <r>
    <s v="P126"/>
    <x v="7"/>
    <x v="25"/>
    <n v="321"/>
    <n v="274"/>
    <n v="56.03"/>
    <n v="72.760000000000005"/>
    <n v="3.64"/>
    <n v="71.53"/>
    <x v="116"/>
    <d v="2025-07-02T00:00:00"/>
    <s v="Hindustan Unilever"/>
    <s v="23p31a4442@acet.ac.in"/>
    <n v="0.4"/>
    <n v="43.655999999999999"/>
    <n v="47"/>
    <x v="125"/>
  </r>
  <r>
    <s v="P127"/>
    <x v="3"/>
    <x v="4"/>
    <n v="307"/>
    <n v="21"/>
    <n v="144.19"/>
    <n v="180.66"/>
    <n v="3.73"/>
    <n v="177.36"/>
    <x v="117"/>
    <d v="2025-04-01T00:00:00"/>
    <s v="Nestle"/>
    <s v="23p31a4403@acet.ac.in"/>
    <n v="0.05"/>
    <n v="171.62699999999998"/>
    <n v="286"/>
    <x v="126"/>
  </r>
  <r>
    <s v="P128"/>
    <x v="5"/>
    <x v="7"/>
    <n v="245"/>
    <n v="52"/>
    <n v="196.66"/>
    <n v="277.70999999999998"/>
    <n v="4.6500000000000004"/>
    <n v="274.11"/>
    <x v="118"/>
    <d v="2025-07-18T00:00:00"/>
    <s v="Godrej"/>
    <s v="23p31a4403@acet.ac.in"/>
    <n v="0.05"/>
    <n v="263.82449999999994"/>
    <n v="193"/>
    <x v="127"/>
  </r>
  <r>
    <s v="P129"/>
    <x v="3"/>
    <x v="8"/>
    <n v="327"/>
    <n v="105"/>
    <n v="164.7"/>
    <n v="206.65"/>
    <n v="3.07"/>
    <n v="206.07"/>
    <x v="119"/>
    <d v="2025-06-29T00:00:00"/>
    <s v="ITC"/>
    <s v="23p31a4442@acet.ac.in"/>
    <n v="0.2"/>
    <n v="165.32000000000002"/>
    <n v="222"/>
    <x v="128"/>
  </r>
  <r>
    <s v="P130"/>
    <x v="7"/>
    <x v="25"/>
    <n v="64"/>
    <n v="24"/>
    <n v="191.36"/>
    <n v="252.61"/>
    <n v="5.86"/>
    <n v="248.7"/>
    <x v="120"/>
    <d v="2025-07-07T00:00:00"/>
    <s v="Hindustan Unilever"/>
    <s v="23p31a4403@acet.ac.in"/>
    <n v="0.05"/>
    <n v="239.9795"/>
    <n v="40"/>
    <x v="129"/>
  </r>
  <r>
    <s v="P131"/>
    <x v="5"/>
    <x v="7"/>
    <n v="165"/>
    <n v="128"/>
    <n v="21.5"/>
    <n v="30.88"/>
    <n v="9.26"/>
    <n v="25.49"/>
    <x v="121"/>
    <d v="2025-06-22T00:00:00"/>
    <s v="Godrej"/>
    <s v="23p31a4442@acet.ac.in"/>
    <n v="0.2"/>
    <n v="24.704000000000001"/>
    <n v="37"/>
    <x v="130"/>
  </r>
  <r>
    <s v="P132"/>
    <x v="0"/>
    <x v="0"/>
    <n v="242"/>
    <n v="44"/>
    <n v="125.53"/>
    <n v="181.77"/>
    <n v="1.67"/>
    <n v="181.38"/>
    <x v="122"/>
    <d v="2025-07-02T00:00:00"/>
    <s v="Detol"/>
    <s v="23p31a4403@acet.ac.in"/>
    <n v="0.2"/>
    <n v="145.41600000000003"/>
    <n v="198"/>
    <x v="131"/>
  </r>
  <r>
    <s v="P133"/>
    <x v="7"/>
    <x v="25"/>
    <n v="173"/>
    <n v="153"/>
    <n v="141.07"/>
    <n v="187.95"/>
    <n v="4.38"/>
    <n v="183.92"/>
    <x v="123"/>
    <d v="2025-04-23T00:00:00"/>
    <s v="Hindustan Unilever"/>
    <s v="23p31a4442@acet.ac.in"/>
    <n v="0.2"/>
    <n v="150.35999999999999"/>
    <n v="20"/>
    <x v="132"/>
  </r>
  <r>
    <s v="P134"/>
    <x v="5"/>
    <x v="7"/>
    <n v="376"/>
    <n v="144"/>
    <n v="59.15"/>
    <n v="73.88"/>
    <n v="9.4499999999999993"/>
    <n v="65.23"/>
    <x v="124"/>
    <d v="2025-07-06T00:00:00"/>
    <s v="Godrej"/>
    <s v="23p31a4442@acet.ac.in"/>
    <n v="0.2"/>
    <n v="59.103999999999999"/>
    <n v="232"/>
    <x v="133"/>
  </r>
  <r>
    <s v="P135"/>
    <x v="3"/>
    <x v="4"/>
    <n v="236"/>
    <n v="126"/>
    <n v="21.25"/>
    <n v="31.7"/>
    <n v="3.88"/>
    <n v="29.64"/>
    <x v="125"/>
    <d v="2025-07-22T00:00:00"/>
    <s v="Nestle"/>
    <s v="23p31a4442@acet.ac.in"/>
    <n v="0.2"/>
    <n v="25.36"/>
    <n v="110"/>
    <x v="134"/>
  </r>
  <r>
    <s v="P136"/>
    <x v="1"/>
    <x v="22"/>
    <n v="128"/>
    <n v="45"/>
    <n v="163.54"/>
    <n v="244.28"/>
    <n v="3.69"/>
    <n v="242.63"/>
    <x v="62"/>
    <d v="2025-05-21T00:00:00"/>
    <s v="Britannia"/>
    <s v="23p31a4403@acet.ac.in"/>
    <n v="0.05"/>
    <n v="232.066"/>
    <n v="83"/>
    <x v="135"/>
  </r>
  <r>
    <s v="P137"/>
    <x v="0"/>
    <x v="0"/>
    <n v="67"/>
    <n v="19"/>
    <n v="182.14"/>
    <n v="253.67"/>
    <n v="9.6300000000000008"/>
    <n v="249.94"/>
    <x v="126"/>
    <d v="2025-06-30T00:00:00"/>
    <s v="Detol"/>
    <s v="23p31a4403@acet.ac.in"/>
    <n v="0.05"/>
    <n v="240.98649999999998"/>
    <n v="48"/>
    <x v="136"/>
  </r>
  <r>
    <s v="P138"/>
    <x v="1"/>
    <x v="1"/>
    <n v="375"/>
    <n v="264"/>
    <n v="81.760000000000005"/>
    <n v="109.95"/>
    <n v="4.22"/>
    <n v="107.79"/>
    <x v="127"/>
    <d v="2025-05-29T00:00:00"/>
    <s v="Britannia"/>
    <s v="23p31a4442@acet.ac.in"/>
    <n v="0.4"/>
    <n v="65.97"/>
    <n v="111"/>
    <x v="137"/>
  </r>
  <r>
    <s v="P139"/>
    <x v="1"/>
    <x v="1"/>
    <n v="180"/>
    <n v="4"/>
    <n v="165.26"/>
    <n v="206.65"/>
    <n v="6.31"/>
    <n v="203.9"/>
    <x v="128"/>
    <d v="2025-06-27T00:00:00"/>
    <s v="Britannia"/>
    <s v="23p31a4403@acet.ac.in"/>
    <n v="0.05"/>
    <n v="196.3175"/>
    <n v="176"/>
    <x v="138"/>
  </r>
  <r>
    <s v="P140"/>
    <x v="0"/>
    <x v="24"/>
    <n v="289"/>
    <n v="78"/>
    <n v="171.49"/>
    <n v="239.44"/>
    <n v="5.77"/>
    <n v="237.64"/>
    <x v="129"/>
    <d v="2025-04-08T00:00:00"/>
    <s v="Colgate"/>
    <s v="23p31a4403@acet.ac.in"/>
    <n v="0.05"/>
    <n v="227.46799999999999"/>
    <n v="211"/>
    <x v="139"/>
  </r>
  <r>
    <s v="P141"/>
    <x v="3"/>
    <x v="8"/>
    <n v="177"/>
    <n v="105"/>
    <n v="59.56"/>
    <n v="78.099999999999994"/>
    <n v="4.2"/>
    <n v="77.47"/>
    <x v="130"/>
    <d v="2025-04-12T00:00:00"/>
    <s v="ITC"/>
    <s v="23p31a4442@acet.ac.in"/>
    <n v="0.2"/>
    <n v="62.48"/>
    <n v="72"/>
    <x v="140"/>
  </r>
  <r>
    <s v="P142"/>
    <x v="3"/>
    <x v="4"/>
    <n v="249"/>
    <n v="213"/>
    <n v="159.6"/>
    <n v="214.41"/>
    <n v="6.02"/>
    <n v="211.64"/>
    <x v="85"/>
    <d v="2025-05-31T00:00:00"/>
    <s v="Nestle"/>
    <s v="23p31a4442@acet.ac.in"/>
    <n v="0.4"/>
    <n v="128.64599999999999"/>
    <n v="36"/>
    <x v="141"/>
  </r>
  <r>
    <s v="P143"/>
    <x v="1"/>
    <x v="6"/>
    <n v="123"/>
    <n v="10"/>
    <n v="11.82"/>
    <n v="15.88"/>
    <n v="9.24"/>
    <n v="14.74"/>
    <x v="131"/>
    <d v="2025-04-04T00:00:00"/>
    <s v="ITC"/>
    <s v="23p31a4403@acet.ac.in"/>
    <n v="0.05"/>
    <n v="15.086"/>
    <n v="113"/>
    <x v="142"/>
  </r>
  <r>
    <s v="P144"/>
    <x v="5"/>
    <x v="23"/>
    <n v="286"/>
    <n v="110"/>
    <n v="194.07"/>
    <n v="234.25"/>
    <n v="9.7100000000000009"/>
    <n v="228.1"/>
    <x v="132"/>
    <d v="2025-07-22T00:00:00"/>
    <s v="ITC"/>
    <s v="23p31a4442@acet.ac.in"/>
    <n v="0.2"/>
    <n v="187.4"/>
    <n v="176"/>
    <x v="143"/>
  </r>
  <r>
    <s v="P145"/>
    <x v="1"/>
    <x v="1"/>
    <n v="278"/>
    <n v="192"/>
    <n v="136.46"/>
    <n v="182.71"/>
    <n v="3.23"/>
    <n v="182.67"/>
    <x v="133"/>
    <d v="2025-05-25T00:00:00"/>
    <s v="Britannia"/>
    <s v="23p31a4442@acet.ac.in"/>
    <n v="0.2"/>
    <n v="146.16800000000001"/>
    <n v="86"/>
    <x v="144"/>
  </r>
  <r>
    <s v="P146"/>
    <x v="0"/>
    <x v="24"/>
    <n v="258"/>
    <n v="15"/>
    <n v="47.85"/>
    <n v="60.6"/>
    <n v="7.06"/>
    <n v="56.04"/>
    <x v="134"/>
    <d v="2025-04-30T00:00:00"/>
    <s v="Colgate"/>
    <s v="23p31a4403@acet.ac.in"/>
    <n v="0.05"/>
    <n v="57.57"/>
    <n v="243"/>
    <x v="145"/>
  </r>
  <r>
    <s v="P147"/>
    <x v="4"/>
    <x v="29"/>
    <n v="466"/>
    <n v="4"/>
    <n v="115.66"/>
    <n v="159.87"/>
    <n v="1.32"/>
    <n v="159.74"/>
    <x v="135"/>
    <d v="2025-06-11T00:00:00"/>
    <s v="Amul"/>
    <s v="23p31a4403@acet.ac.in"/>
    <n v="0.05"/>
    <n v="151.87649999999999"/>
    <n v="462"/>
    <x v="146"/>
  </r>
  <r>
    <s v="P148"/>
    <x v="0"/>
    <x v="24"/>
    <n v="337"/>
    <n v="97"/>
    <n v="183.82"/>
    <n v="239.99"/>
    <n v="7.63"/>
    <n v="239.75"/>
    <x v="136"/>
    <d v="2025-05-24T00:00:00"/>
    <s v="Colgate"/>
    <s v="23p31a4442@acet.ac.in"/>
    <n v="0.05"/>
    <n v="227.9905"/>
    <n v="240"/>
    <x v="147"/>
  </r>
  <r>
    <s v="P149"/>
    <x v="3"/>
    <x v="4"/>
    <n v="81"/>
    <n v="11"/>
    <n v="17.809999999999999"/>
    <n v="26.65"/>
    <n v="4.21"/>
    <n v="25.17"/>
    <x v="137"/>
    <d v="2025-04-23T00:00:00"/>
    <s v="Nestle"/>
    <s v="23p31a4403@acet.ac.in"/>
    <n v="0.05"/>
    <n v="25.317499999999999"/>
    <n v="70"/>
    <x v="148"/>
  </r>
  <r>
    <s v="P150"/>
    <x v="0"/>
    <x v="3"/>
    <n v="335"/>
    <n v="45"/>
    <n v="96.04"/>
    <n v="133.47999999999999"/>
    <n v="4.5"/>
    <n v="129.93"/>
    <x v="138"/>
    <d v="2025-06-05T00:00:00"/>
    <s v="Hindustan Unilever"/>
    <s v="23p31a4403@acet.ac.in"/>
    <n v="0.05"/>
    <n v="126.80599999999998"/>
    <n v="290"/>
    <x v="149"/>
  </r>
  <r>
    <s v="P151"/>
    <x v="5"/>
    <x v="23"/>
    <n v="406"/>
    <n v="162"/>
    <n v="160.80000000000001"/>
    <n v="235.03"/>
    <n v="3.09"/>
    <n v="232.63"/>
    <x v="139"/>
    <d v="2025-07-04T00:00:00"/>
    <s v="ITC"/>
    <s v="23p31a4442@acet.ac.in"/>
    <n v="0.2"/>
    <n v="188.024"/>
    <n v="244"/>
    <x v="150"/>
  </r>
  <r>
    <s v="P152"/>
    <x v="4"/>
    <x v="26"/>
    <n v="274"/>
    <n v="220"/>
    <n v="56.94"/>
    <n v="83.27"/>
    <n v="5.43"/>
    <n v="82.32"/>
    <x v="12"/>
    <d v="2025-06-03T00:00:00"/>
    <s v="Nestle"/>
    <s v="23p31a4442@acet.ac.in"/>
    <n v="0.4"/>
    <n v="49.961999999999996"/>
    <n v="54"/>
    <x v="151"/>
  </r>
  <r>
    <s v="P153"/>
    <x v="4"/>
    <x v="30"/>
    <n v="375"/>
    <n v="297"/>
    <n v="16.5"/>
    <n v="24.13"/>
    <n v="4.99"/>
    <n v="20.71"/>
    <x v="140"/>
    <d v="2025-04-17T00:00:00"/>
    <s v="Amul"/>
    <s v="23p31a4442@acet.ac.in"/>
    <n v="0.4"/>
    <n v="14.477999999999998"/>
    <n v="78"/>
    <x v="152"/>
  </r>
  <r>
    <s v="P154"/>
    <x v="1"/>
    <x v="1"/>
    <n v="267"/>
    <n v="63"/>
    <n v="167.7"/>
    <n v="230.61"/>
    <n v="7.09"/>
    <n v="225.98"/>
    <x v="141"/>
    <d v="2025-05-12T00:00:00"/>
    <s v="Britannia"/>
    <s v="23p31a4403@acet.ac.in"/>
    <n v="0.05"/>
    <n v="219.0795"/>
    <n v="204"/>
    <x v="153"/>
  </r>
  <r>
    <s v="P155"/>
    <x v="7"/>
    <x v="25"/>
    <n v="350"/>
    <n v="305"/>
    <n v="55.84"/>
    <n v="76.13"/>
    <n v="7.19"/>
    <n v="71.790000000000006"/>
    <x v="62"/>
    <d v="2025-05-26T00:00:00"/>
    <s v="Hindustan Unilever"/>
    <s v="23p31a4442@acet.ac.in"/>
    <n v="0.4"/>
    <n v="45.677999999999997"/>
    <n v="45"/>
    <x v="154"/>
  </r>
  <r>
    <s v="P156"/>
    <x v="4"/>
    <x v="26"/>
    <n v="110"/>
    <n v="70"/>
    <n v="70.81"/>
    <n v="88.74"/>
    <n v="6.91"/>
    <n v="87.47"/>
    <x v="142"/>
    <d v="2025-07-20T00:00:00"/>
    <s v="Nestle"/>
    <s v="23p31a4403@acet.ac.in"/>
    <n v="0.05"/>
    <n v="84.302999999999997"/>
    <n v="40"/>
    <x v="155"/>
  </r>
  <r>
    <s v="P157"/>
    <x v="4"/>
    <x v="31"/>
    <n v="452"/>
    <n v="96"/>
    <n v="104.7"/>
    <n v="132.96"/>
    <n v="1.75"/>
    <n v="131.93"/>
    <x v="143"/>
    <d v="2025-05-16T00:00:00"/>
    <s v="Amul"/>
    <s v="23p31a4442@acet.ac.in"/>
    <n v="0.05"/>
    <n v="126.312"/>
    <n v="356"/>
    <x v="156"/>
  </r>
  <r>
    <s v="P158"/>
    <x v="7"/>
    <x v="25"/>
    <n v="411"/>
    <n v="134"/>
    <n v="55.16"/>
    <n v="75.44"/>
    <n v="3.34"/>
    <n v="72.28"/>
    <x v="144"/>
    <d v="2025-04-02T00:00:00"/>
    <s v="Hindustan Unilever"/>
    <s v="23p31a4442@acet.ac.in"/>
    <n v="0.2"/>
    <n v="60.352000000000004"/>
    <n v="277"/>
    <x v="157"/>
  </r>
  <r>
    <s v="P159"/>
    <x v="3"/>
    <x v="4"/>
    <n v="135"/>
    <n v="29"/>
    <n v="28.54"/>
    <n v="41.98"/>
    <n v="4.82"/>
    <n v="39.94"/>
    <x v="145"/>
    <d v="2025-07-20T00:00:00"/>
    <s v="Nestle"/>
    <s v="23p31a4403@acet.ac.in"/>
    <n v="0.05"/>
    <n v="39.880999999999993"/>
    <n v="106"/>
    <x v="158"/>
  </r>
  <r>
    <s v="P160"/>
    <x v="0"/>
    <x v="0"/>
    <n v="164"/>
    <n v="84"/>
    <n v="58.79"/>
    <n v="79.89"/>
    <n v="6.19"/>
    <n v="74.56"/>
    <x v="72"/>
    <d v="2025-07-15T00:00:00"/>
    <s v="Detol"/>
    <s v="23p31a4442@acet.ac.in"/>
    <n v="0.05"/>
    <n v="75.895499999999998"/>
    <n v="80"/>
    <x v="159"/>
  </r>
  <r>
    <s v="P161"/>
    <x v="3"/>
    <x v="8"/>
    <n v="387"/>
    <n v="338"/>
    <n v="99.28"/>
    <n v="135.83000000000001"/>
    <n v="6.55"/>
    <n v="132.68"/>
    <x v="146"/>
    <d v="2025-05-04T00:00:00"/>
    <s v="ITC"/>
    <s v="23p31a4442@acet.ac.in"/>
    <n v="0.4"/>
    <n v="81.498000000000005"/>
    <n v="49"/>
    <x v="160"/>
  </r>
  <r>
    <s v="P162"/>
    <x v="0"/>
    <x v="3"/>
    <n v="236"/>
    <n v="28"/>
    <n v="160.91"/>
    <n v="209.16"/>
    <n v="6.81"/>
    <n v="203.66"/>
    <x v="147"/>
    <d v="2025-07-22T00:00:00"/>
    <s v="Hindustan Unilever"/>
    <s v="23p31a4403@acet.ac.in"/>
    <n v="0.05"/>
    <n v="198.702"/>
    <n v="208"/>
    <x v="161"/>
  </r>
  <r>
    <s v="P163"/>
    <x v="0"/>
    <x v="0"/>
    <n v="337"/>
    <n v="210"/>
    <n v="177.78"/>
    <n v="258.18"/>
    <n v="4.18"/>
    <n v="255.43"/>
    <x v="148"/>
    <d v="2025-04-10T00:00:00"/>
    <s v="Detol"/>
    <s v="23p31a4442@acet.ac.in"/>
    <n v="0.4"/>
    <n v="154.90799999999999"/>
    <n v="127"/>
    <x v="162"/>
  </r>
  <r>
    <s v="P164"/>
    <x v="3"/>
    <x v="4"/>
    <n v="229"/>
    <n v="18"/>
    <n v="70.260000000000005"/>
    <n v="86.17"/>
    <n v="9.66"/>
    <n v="84.19"/>
    <x v="149"/>
    <d v="2025-05-01T00:00:00"/>
    <s v="Nestle"/>
    <s v="23p31a4403@acet.ac.in"/>
    <n v="0.05"/>
    <n v="81.861499999999992"/>
    <n v="211"/>
    <x v="163"/>
  </r>
  <r>
    <s v="P165"/>
    <x v="1"/>
    <x v="22"/>
    <n v="235"/>
    <n v="45"/>
    <n v="111.11"/>
    <n v="142.16999999999999"/>
    <n v="9.89"/>
    <n v="134.22"/>
    <x v="150"/>
    <d v="2025-06-30T00:00:00"/>
    <s v="Britannia"/>
    <s v="23p31a4403@acet.ac.in"/>
    <n v="0.05"/>
    <n v="135.0615"/>
    <n v="190"/>
    <x v="164"/>
  </r>
  <r>
    <s v="P166"/>
    <x v="2"/>
    <x v="2"/>
    <n v="53"/>
    <n v="46"/>
    <n v="157.96"/>
    <n v="235.1"/>
    <n v="3.01"/>
    <n v="234.04"/>
    <x v="151"/>
    <d v="2025-05-01T00:00:00"/>
    <s v="ITC"/>
    <s v="23p31a4403@acet.ac.in"/>
    <n v="0.05"/>
    <n v="223.34499999999997"/>
    <n v="7"/>
    <x v="165"/>
  </r>
  <r>
    <s v="P167"/>
    <x v="7"/>
    <x v="25"/>
    <n v="56"/>
    <n v="28"/>
    <n v="84.29"/>
    <n v="116.96"/>
    <n v="8.67"/>
    <n v="115.64"/>
    <x v="152"/>
    <d v="2025-07-17T00:00:00"/>
    <s v="Hindustan Unilever"/>
    <s v="23p31a4403@acet.ac.in"/>
    <n v="0.05"/>
    <n v="111.11199999999999"/>
    <n v="28"/>
    <x v="166"/>
  </r>
  <r>
    <s v="P168"/>
    <x v="3"/>
    <x v="4"/>
    <n v="80"/>
    <n v="29"/>
    <n v="147.5"/>
    <n v="198.73"/>
    <n v="1.47"/>
    <n v="198.32"/>
    <x v="95"/>
    <d v="2025-04-15T00:00:00"/>
    <s v="Nestle"/>
    <s v="23p31a4403@acet.ac.in"/>
    <n v="0.05"/>
    <n v="188.79349999999999"/>
    <n v="51"/>
    <x v="167"/>
  </r>
  <r>
    <s v="P169"/>
    <x v="3"/>
    <x v="8"/>
    <n v="223"/>
    <n v="133"/>
    <n v="44.72"/>
    <n v="61.26"/>
    <n v="7.75"/>
    <n v="55.22"/>
    <x v="50"/>
    <d v="2025-05-05T00:00:00"/>
    <s v="ITC"/>
    <s v="23p31a4442@acet.ac.in"/>
    <n v="0.2"/>
    <n v="49.008000000000003"/>
    <n v="90"/>
    <x v="168"/>
  </r>
  <r>
    <s v="P170"/>
    <x v="5"/>
    <x v="23"/>
    <n v="112"/>
    <n v="57"/>
    <n v="73.680000000000007"/>
    <n v="108.93"/>
    <n v="4.3899999999999997"/>
    <n v="108.18"/>
    <x v="153"/>
    <d v="2025-05-31T00:00:00"/>
    <s v="ITC"/>
    <s v="23p31a4403@acet.ac.in"/>
    <n v="0.05"/>
    <n v="103.48350000000001"/>
    <n v="55"/>
    <x v="169"/>
  </r>
  <r>
    <s v="P171"/>
    <x v="5"/>
    <x v="7"/>
    <n v="353"/>
    <n v="76"/>
    <n v="72.59"/>
    <n v="96.02"/>
    <n v="8.69"/>
    <n v="95.53"/>
    <x v="154"/>
    <d v="2025-04-26T00:00:00"/>
    <s v="Godrej"/>
    <s v="23p31a4403@acet.ac.in"/>
    <n v="0.05"/>
    <n v="91.218999999999994"/>
    <n v="277"/>
    <x v="170"/>
  </r>
  <r>
    <s v="P172"/>
    <x v="0"/>
    <x v="0"/>
    <n v="150"/>
    <n v="110"/>
    <n v="32.82"/>
    <n v="40.950000000000003"/>
    <n v="7.61"/>
    <n v="35.01"/>
    <x v="155"/>
    <d v="2025-06-23T00:00:00"/>
    <s v="Detol"/>
    <s v="23p31a4442@acet.ac.in"/>
    <n v="0.2"/>
    <n v="32.760000000000005"/>
    <n v="40"/>
    <x v="171"/>
  </r>
  <r>
    <s v="P173"/>
    <x v="6"/>
    <x v="21"/>
    <n v="242"/>
    <n v="229"/>
    <n v="124.54"/>
    <n v="151.80000000000001"/>
    <n v="6.16"/>
    <n v="148.55000000000001"/>
    <x v="156"/>
    <d v="2025-05-23T00:00:00"/>
    <s v="PepsiCo"/>
    <s v="23p31a4442@acet.ac.in"/>
    <n v="0.4"/>
    <n v="91.08"/>
    <n v="13"/>
    <x v="172"/>
  </r>
  <r>
    <s v="P174"/>
    <x v="4"/>
    <x v="26"/>
    <n v="488"/>
    <n v="24"/>
    <n v="97.23"/>
    <n v="124.16"/>
    <n v="5"/>
    <n v="120.29"/>
    <x v="157"/>
    <d v="2025-07-18T00:00:00"/>
    <s v="Nestle"/>
    <s v="23p31a4403@acet.ac.in"/>
    <n v="0.05"/>
    <n v="117.952"/>
    <n v="464"/>
    <x v="173"/>
  </r>
  <r>
    <s v="P175"/>
    <x v="2"/>
    <x v="2"/>
    <n v="294"/>
    <n v="183"/>
    <n v="195.7"/>
    <n v="281.02"/>
    <n v="8.0399999999999991"/>
    <n v="274.41000000000003"/>
    <x v="158"/>
    <d v="2025-06-11T00:00:00"/>
    <s v="ITC"/>
    <s v="23p31a4442@acet.ac.in"/>
    <n v="0.2"/>
    <n v="224.816"/>
    <n v="111"/>
    <x v="174"/>
  </r>
  <r>
    <s v="P176"/>
    <x v="6"/>
    <x v="21"/>
    <n v="118"/>
    <n v="92"/>
    <n v="124.47"/>
    <n v="152.56"/>
    <n v="6.05"/>
    <n v="149.91"/>
    <x v="159"/>
    <d v="2025-06-15T00:00:00"/>
    <s v="PepsiCo"/>
    <s v="23p31a4442@acet.ac.in"/>
    <n v="0.05"/>
    <n v="144.93199999999999"/>
    <n v="26"/>
    <x v="175"/>
  </r>
  <r>
    <s v="P177"/>
    <x v="2"/>
    <x v="2"/>
    <n v="415"/>
    <n v="275"/>
    <n v="118.82"/>
    <n v="158.58000000000001"/>
    <n v="2.7"/>
    <n v="156.69"/>
    <x v="23"/>
    <d v="2025-07-05T00:00:00"/>
    <s v="ITC"/>
    <s v="23p31a4442@acet.ac.in"/>
    <n v="0.4"/>
    <n v="95.14800000000001"/>
    <n v="140"/>
    <x v="176"/>
  </r>
  <r>
    <s v="P178"/>
    <x v="6"/>
    <x v="9"/>
    <n v="344"/>
    <n v="115"/>
    <n v="83.69"/>
    <n v="115.76"/>
    <n v="6.8"/>
    <n v="115.19"/>
    <x v="160"/>
    <d v="2025-07-07T00:00:00"/>
    <s v="Coca Cola India"/>
    <s v="23p31a4442@acet.ac.in"/>
    <n v="0.2"/>
    <n v="92.608000000000004"/>
    <n v="229"/>
    <x v="177"/>
  </r>
  <r>
    <s v="P179"/>
    <x v="0"/>
    <x v="0"/>
    <n v="369"/>
    <n v="169"/>
    <n v="131.61000000000001"/>
    <n v="193.4"/>
    <n v="1.87"/>
    <n v="193.24"/>
    <x v="161"/>
    <d v="2025-05-18T00:00:00"/>
    <s v="Detol"/>
    <s v="23p31a4442@acet.ac.in"/>
    <n v="0.2"/>
    <n v="154.72000000000003"/>
    <n v="200"/>
    <x v="178"/>
  </r>
  <r>
    <s v="P180"/>
    <x v="7"/>
    <x v="25"/>
    <n v="354"/>
    <n v="132"/>
    <n v="139.13"/>
    <n v="197.06"/>
    <n v="1.67"/>
    <n v="196.61"/>
    <x v="162"/>
    <d v="2025-04-29T00:00:00"/>
    <s v="Hindustan Unilever"/>
    <s v="23p31a4442@acet.ac.in"/>
    <n v="0.2"/>
    <n v="157.64800000000002"/>
    <n v="222"/>
    <x v="179"/>
  </r>
  <r>
    <s v="P181"/>
    <x v="7"/>
    <x v="25"/>
    <n v="202"/>
    <n v="130"/>
    <n v="100.06"/>
    <n v="126.04"/>
    <n v="5.91"/>
    <n v="120.81"/>
    <x v="163"/>
    <d v="2025-05-24T00:00:00"/>
    <s v="Hindustan Unilever"/>
    <s v="23p31a4442@acet.ac.in"/>
    <n v="0.2"/>
    <n v="100.83200000000001"/>
    <n v="72"/>
    <x v="180"/>
  </r>
  <r>
    <s v="P182"/>
    <x v="4"/>
    <x v="26"/>
    <n v="367"/>
    <n v="40"/>
    <n v="147.97"/>
    <n v="200.58"/>
    <n v="4.79"/>
    <n v="196.19"/>
    <x v="164"/>
    <d v="2025-06-29T00:00:00"/>
    <s v="Nestle"/>
    <s v="23p31a4403@acet.ac.in"/>
    <n v="0.2"/>
    <n v="160.46400000000003"/>
    <n v="327"/>
    <x v="181"/>
  </r>
  <r>
    <s v="P184"/>
    <x v="3"/>
    <x v="4"/>
    <n v="412"/>
    <n v="73"/>
    <n v="127.17"/>
    <n v="187.96"/>
    <n v="2.4300000000000002"/>
    <n v="187.2"/>
    <x v="165"/>
    <d v="2025-04-02T00:00:00"/>
    <s v="Nestle"/>
    <s v="23p31a4403@acet.ac.in"/>
    <n v="0.05"/>
    <n v="178.56200000000001"/>
    <n v="339"/>
    <x v="182"/>
  </r>
  <r>
    <s v="P185"/>
    <x v="0"/>
    <x v="24"/>
    <n v="399"/>
    <n v="302"/>
    <n v="134.11000000000001"/>
    <n v="180.59"/>
    <n v="3.49"/>
    <n v="178.14"/>
    <x v="166"/>
    <d v="2025-06-23T00:00:00"/>
    <s v="Colgate"/>
    <s v="23p31a4442@acet.ac.in"/>
    <n v="0.4"/>
    <n v="108.354"/>
    <n v="97"/>
    <x v="183"/>
  </r>
  <r>
    <s v="P186"/>
    <x v="3"/>
    <x v="4"/>
    <n v="453"/>
    <n v="195"/>
    <n v="61.22"/>
    <n v="88.97"/>
    <n v="9.36"/>
    <n v="80.48"/>
    <x v="167"/>
    <d v="2025-04-24T00:00:00"/>
    <s v="Nestle"/>
    <s v="23p31a4442@acet.ac.in"/>
    <n v="0.2"/>
    <n v="71.176000000000002"/>
    <n v="258"/>
    <x v="184"/>
  </r>
  <r>
    <s v="P187"/>
    <x v="4"/>
    <x v="32"/>
    <n v="351"/>
    <n v="216"/>
    <n v="174.8"/>
    <n v="226.73"/>
    <n v="6.67"/>
    <n v="222.06"/>
    <x v="168"/>
    <d v="2025-06-14T00:00:00"/>
    <s v="Amul"/>
    <s v="23p31a4442@acet.ac.in"/>
    <n v="0.4"/>
    <n v="136.03799999999998"/>
    <n v="135"/>
    <x v="185"/>
  </r>
  <r>
    <s v="P188"/>
    <x v="0"/>
    <x v="24"/>
    <n v="249"/>
    <n v="48"/>
    <n v="99.15"/>
    <n v="126.79"/>
    <n v="3.18"/>
    <n v="123.92"/>
    <x v="86"/>
    <d v="2025-04-08T00:00:00"/>
    <s v="Colgate"/>
    <s v="23p31a4403@acet.ac.in"/>
    <n v="0.05"/>
    <n v="120.45050000000001"/>
    <n v="201"/>
    <x v="186"/>
  </r>
  <r>
    <s v="P189"/>
    <x v="7"/>
    <x v="25"/>
    <n v="150"/>
    <n v="148"/>
    <n v="165.36"/>
    <n v="222.31"/>
    <n v="7.91"/>
    <n v="219.93"/>
    <x v="169"/>
    <d v="2025-05-17T00:00:00"/>
    <s v="Hindustan Unilever"/>
    <s v="23p31a4442@acet.ac.in"/>
    <n v="0.2"/>
    <n v="177.84800000000001"/>
    <n v="2"/>
    <x v="187"/>
  </r>
  <r>
    <s v="P190"/>
    <x v="0"/>
    <x v="24"/>
    <n v="301"/>
    <n v="61"/>
    <n v="27.71"/>
    <n v="41.4"/>
    <n v="3.39"/>
    <n v="39.200000000000003"/>
    <x v="170"/>
    <d v="2025-05-09T00:00:00"/>
    <s v="Colgate"/>
    <s v="23p31a4403@acet.ac.in"/>
    <n v="0.05"/>
    <n v="39.33"/>
    <n v="240"/>
    <x v="188"/>
  </r>
  <r>
    <s v="P191"/>
    <x v="1"/>
    <x v="1"/>
    <n v="400"/>
    <n v="219"/>
    <n v="64.430000000000007"/>
    <n v="95.04"/>
    <n v="8.69"/>
    <n v="89.6"/>
    <x v="171"/>
    <d v="2025-06-24T00:00:00"/>
    <s v="Britannia"/>
    <s v="23p31a4442@acet.ac.in"/>
    <n v="0.4"/>
    <n v="57.024000000000001"/>
    <n v="181"/>
    <x v="189"/>
  </r>
  <r>
    <s v="P192"/>
    <x v="4"/>
    <x v="26"/>
    <n v="331"/>
    <n v="180"/>
    <n v="146.22999999999999"/>
    <n v="189"/>
    <n v="8.24"/>
    <n v="186.18"/>
    <x v="172"/>
    <d v="2025-04-21T00:00:00"/>
    <s v="Nestle"/>
    <s v="23p31a4442@acet.ac.in"/>
    <n v="0.2"/>
    <n v="151.20000000000002"/>
    <n v="151"/>
    <x v="190"/>
  </r>
  <r>
    <s v="P193"/>
    <x v="5"/>
    <x v="7"/>
    <n v="231"/>
    <n v="208"/>
    <n v="179.56"/>
    <n v="233.04"/>
    <n v="8.6199999999999992"/>
    <n v="224.65"/>
    <x v="173"/>
    <d v="2025-07-11T00:00:00"/>
    <s v="Godrej"/>
    <s v="23p31a4442@acet.ac.in"/>
    <n v="0.4"/>
    <n v="139.82399999999998"/>
    <n v="23"/>
    <x v="191"/>
  </r>
  <r>
    <s v="P194"/>
    <x v="5"/>
    <x v="7"/>
    <n v="226"/>
    <n v="170"/>
    <n v="42.55"/>
    <n v="52.9"/>
    <n v="6.8"/>
    <n v="49.85"/>
    <x v="174"/>
    <d v="2025-04-05T00:00:00"/>
    <s v="Godrej"/>
    <s v="23p31a4442@acet.ac.in"/>
    <n v="0.2"/>
    <n v="42.32"/>
    <n v="56"/>
    <x v="192"/>
  </r>
  <r>
    <s v="P195"/>
    <x v="3"/>
    <x v="4"/>
    <n v="344"/>
    <n v="180"/>
    <n v="34.07"/>
    <n v="42.04"/>
    <n v="3.26"/>
    <n v="41.06"/>
    <x v="175"/>
    <d v="2025-07-07T00:00:00"/>
    <s v="Nestle"/>
    <s v="23p31a4442@acet.ac.in"/>
    <n v="0.2"/>
    <n v="33.631999999999998"/>
    <n v="164"/>
    <x v="193"/>
  </r>
  <r>
    <s v="P196"/>
    <x v="7"/>
    <x v="25"/>
    <n v="52"/>
    <n v="13"/>
    <n v="170.32"/>
    <n v="241.28"/>
    <n v="7.19"/>
    <n v="238.42"/>
    <x v="42"/>
    <d v="2025-07-14T00:00:00"/>
    <s v="Hindustan Unilever"/>
    <s v="23p31a4403@acet.ac.in"/>
    <n v="0.05"/>
    <n v="229.21599999999998"/>
    <n v="39"/>
    <x v="194"/>
  </r>
  <r>
    <s v="P197"/>
    <x v="4"/>
    <x v="27"/>
    <n v="308"/>
    <n v="87"/>
    <n v="61.63"/>
    <n v="92.09"/>
    <n v="5.28"/>
    <n v="87.2"/>
    <x v="176"/>
    <d v="2025-07-04T00:00:00"/>
    <s v="Amul"/>
    <s v="23p31a4442@acet.ac.in"/>
    <n v="0.05"/>
    <n v="87.485500000000002"/>
    <n v="221"/>
    <x v="195"/>
  </r>
  <r>
    <s v="P198"/>
    <x v="2"/>
    <x v="2"/>
    <n v="71"/>
    <n v="39"/>
    <n v="49.17"/>
    <n v="72.87"/>
    <n v="5.27"/>
    <n v="71.19"/>
    <x v="177"/>
    <d v="2025-07-06T00:00:00"/>
    <s v="ITC"/>
    <s v="23p31a4403@acet.ac.in"/>
    <n v="0.05"/>
    <n v="69.226500000000001"/>
    <n v="32"/>
    <x v="196"/>
  </r>
  <r>
    <s v="P199"/>
    <x v="2"/>
    <x v="2"/>
    <n v="500"/>
    <n v="196"/>
    <n v="199.25"/>
    <n v="266.63"/>
    <n v="4.6399999999999997"/>
    <n v="266.57"/>
    <x v="178"/>
    <d v="2025-04-05T00:00:00"/>
    <s v="ITC"/>
    <s v="23p31a4442@acet.ac.in"/>
    <n v="0.2"/>
    <n v="213.304"/>
    <n v="304"/>
    <x v="197"/>
  </r>
  <r>
    <s v="P200"/>
    <x v="4"/>
    <x v="33"/>
    <n v="121"/>
    <n v="10"/>
    <n v="148.75"/>
    <n v="217.5"/>
    <n v="2.85"/>
    <n v="215.52"/>
    <x v="179"/>
    <d v="2025-06-04T00:00:00"/>
    <s v="Amul"/>
    <s v="23p31a4403@acet.ac.in"/>
    <n v="0.05"/>
    <n v="206.625"/>
    <n v="111"/>
    <x v="1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P001"/>
    <x v="0"/>
    <x v="0"/>
    <n v="50"/>
    <n v="10"/>
    <n v="86.49"/>
    <n v="128.66999999999999"/>
    <n v="9.34"/>
    <n v="127.25"/>
    <x v="0"/>
    <d v="2025-07-21T00:00:00"/>
    <s v="Detol"/>
    <s v="23p314403@acet.ac.in"/>
    <x v="0"/>
    <n v="122.23649999999998"/>
    <x v="0"/>
    <n v="1687.1999999999998"/>
    <n v="175"/>
    <x v="0"/>
  </r>
  <r>
    <s v="P002"/>
    <x v="1"/>
    <x v="1"/>
    <n v="355"/>
    <n v="219"/>
    <n v="26.45"/>
    <n v="34.840000000000003"/>
    <n v="7.24"/>
    <n v="32.380000000000003"/>
    <x v="1"/>
    <d v="2025-07-22T00:00:00"/>
    <s v="Britannia"/>
    <s v="23p31a4442@acet.ac.in"/>
    <x v="1"/>
    <n v="20.904"/>
    <x v="1"/>
    <n v="1141.0400000000006"/>
    <n v="721"/>
    <x v="0"/>
  </r>
  <r>
    <s v="P003"/>
    <x v="2"/>
    <x v="2"/>
    <n v="479"/>
    <n v="97"/>
    <n v="120.29"/>
    <n v="161.5"/>
    <n v="3.86"/>
    <n v="160.51"/>
    <x v="2"/>
    <d v="2025-07-10T00:00:00"/>
    <s v="ITC"/>
    <s v="23p31a4442@acet.ac.in"/>
    <x v="2"/>
    <n v="129.20000000000002"/>
    <x v="2"/>
    <n v="15742.219999999998"/>
    <n v="41"/>
    <x v="1"/>
  </r>
  <r>
    <s v="P004"/>
    <x v="0"/>
    <x v="3"/>
    <n v="139"/>
    <n v="3"/>
    <n v="199.19"/>
    <n v="289.98"/>
    <n v="7"/>
    <n v="283.45"/>
    <x v="3"/>
    <d v="2025-04-11T00:00:00"/>
    <s v="Hindustan Unilever"/>
    <s v="23p31a4403@acet.ac.in"/>
    <x v="0"/>
    <n v="275.48099999999999"/>
    <x v="1"/>
    <n v="12347.440000000002"/>
    <n v="854"/>
    <x v="0"/>
  </r>
  <r>
    <s v="P005"/>
    <x v="3"/>
    <x v="4"/>
    <n v="184"/>
    <n v="96"/>
    <n v="57.15"/>
    <n v="81.260000000000005"/>
    <n v="7.22"/>
    <n v="81.03"/>
    <x v="4"/>
    <d v="2025-07-19T00:00:00"/>
    <s v="Nestle"/>
    <s v="23p31a4442@acet.ac.in"/>
    <x v="0"/>
    <n v="77.197000000000003"/>
    <x v="3"/>
    <n v="2121.6800000000007"/>
    <n v="610"/>
    <x v="0"/>
  </r>
  <r>
    <s v="P006"/>
    <x v="0"/>
    <x v="3"/>
    <n v="93"/>
    <n v="75"/>
    <n v="128.76"/>
    <n v="165.26"/>
    <n v="9.07"/>
    <n v="159.36000000000001"/>
    <x v="5"/>
    <d v="2025-05-26T00:00:00"/>
    <s v="Hindustan Unilever"/>
    <s v="23p31a4403@acet.ac.in"/>
    <x v="0"/>
    <n v="156.99699999999999"/>
    <x v="4"/>
    <n v="657"/>
    <n v="134"/>
    <x v="0"/>
  </r>
  <r>
    <s v="P007"/>
    <x v="4"/>
    <x v="5"/>
    <n v="222"/>
    <n v="73"/>
    <n v="82.46"/>
    <n v="117.51"/>
    <n v="2.95"/>
    <n v="117.51"/>
    <x v="6"/>
    <d v="2025-07-14T00:00:00"/>
    <s v="Amul"/>
    <s v="23p31a4403@acet.ac.in"/>
    <x v="0"/>
    <n v="111.6345"/>
    <x v="5"/>
    <n v="5222.4500000000016"/>
    <n v="155"/>
    <x v="0"/>
  </r>
  <r>
    <s v="P008"/>
    <x v="1"/>
    <x v="6"/>
    <n v="154"/>
    <n v="122"/>
    <n v="24.5"/>
    <n v="30.68"/>
    <n v="4.5999999999999996"/>
    <n v="28.42"/>
    <x v="7"/>
    <d v="2025-04-12T00:00:00"/>
    <s v="ITC"/>
    <s v="23p31a4442@acet.ac.in"/>
    <x v="2"/>
    <n v="24.544"/>
    <x v="6"/>
    <n v="197.76"/>
    <n v="235"/>
    <x v="0"/>
  </r>
  <r>
    <s v="P009"/>
    <x v="5"/>
    <x v="7"/>
    <n v="222"/>
    <n v="132"/>
    <n v="152.97999999999999"/>
    <n v="205.29"/>
    <n v="6.22"/>
    <n v="202.74"/>
    <x v="8"/>
    <d v="2025-04-30T00:00:00"/>
    <s v="Godrej"/>
    <s v="23p31a4442@acet.ac.in"/>
    <x v="2"/>
    <n v="164.232"/>
    <x v="7"/>
    <n v="4707.9000000000005"/>
    <n v="810"/>
    <x v="0"/>
  </r>
  <r>
    <s v="P010"/>
    <x v="3"/>
    <x v="8"/>
    <n v="450"/>
    <n v="331"/>
    <n v="70.400000000000006"/>
    <n v="100.06"/>
    <n v="4.42"/>
    <n v="97.87"/>
    <x v="9"/>
    <d v="2025-05-26T00:00:00"/>
    <s v="ITC"/>
    <s v="23p31a4442@acet.ac.in"/>
    <x v="1"/>
    <n v="60.036000000000001"/>
    <x v="8"/>
    <n v="3529.5399999999995"/>
    <n v="817"/>
    <x v="0"/>
  </r>
  <r>
    <s v="P011"/>
    <x v="6"/>
    <x v="9"/>
    <n v="357"/>
    <n v="97"/>
    <n v="58.98"/>
    <n v="86.99"/>
    <n v="8.1199999999999992"/>
    <n v="81.19"/>
    <x v="10"/>
    <d v="2025-06-30T00:00:00"/>
    <s v="Coca Cola India"/>
    <s v="23p31a4442@acet.ac.in"/>
    <x v="2"/>
    <n v="69.591999999999999"/>
    <x v="9"/>
    <n v="7282.5999999999995"/>
    <n v="60"/>
    <x v="0"/>
  </r>
  <r>
    <s v="P012"/>
    <x v="4"/>
    <x v="10"/>
    <n v="50"/>
    <n v="3"/>
    <n v="39.79"/>
    <n v="47.96"/>
    <n v="3.94"/>
    <n v="47.4"/>
    <x v="11"/>
    <d v="2025-05-06T00:00:00"/>
    <s v="Amul"/>
    <s v="23p31a4403@acet.ac.in"/>
    <x v="1"/>
    <n v="28.776"/>
    <x v="10"/>
    <n v="383.99000000000007"/>
    <n v="30"/>
    <x v="2"/>
  </r>
  <r>
    <s v="P013"/>
    <x v="0"/>
    <x v="11"/>
    <n v="103"/>
    <n v="52"/>
    <n v="51.69"/>
    <n v="63.02"/>
    <n v="3.33"/>
    <n v="62.28"/>
    <x v="12"/>
    <d v="2025-05-14T00:00:00"/>
    <s v="Detol"/>
    <s v="23p31a4403@acet.ac.in"/>
    <x v="0"/>
    <n v="59.869"/>
    <x v="11"/>
    <n v="577.83000000000027"/>
    <n v="365"/>
    <x v="0"/>
  </r>
  <r>
    <s v="P014"/>
    <x v="7"/>
    <x v="12"/>
    <n v="86"/>
    <n v="51"/>
    <n v="90.7"/>
    <n v="109.44"/>
    <n v="8.77"/>
    <n v="107.92"/>
    <x v="13"/>
    <d v="2025-04-20T00:00:00"/>
    <s v="Hindustan Unilever"/>
    <s v="23p31a42c0@acet.ac.in"/>
    <x v="0"/>
    <n v="103.96799999999999"/>
    <x v="12"/>
    <n v="655.89999999999986"/>
    <n v="333"/>
    <x v="0"/>
  </r>
  <r>
    <s v="P015"/>
    <x v="0"/>
    <x v="13"/>
    <n v="262"/>
    <n v="212"/>
    <n v="72.77"/>
    <n v="90.54"/>
    <n v="2.1800000000000002"/>
    <n v="89.94"/>
    <x v="14"/>
    <d v="2025-05-02T00:00:00"/>
    <s v="Colgate"/>
    <s v="23p31a4442@acet.ac.in"/>
    <x v="1"/>
    <n v="54.324000000000005"/>
    <x v="13"/>
    <n v="888.50000000000045"/>
    <n v="799"/>
    <x v="0"/>
  </r>
  <r>
    <s v="P016"/>
    <x v="0"/>
    <x v="14"/>
    <n v="88"/>
    <n v="42"/>
    <n v="121.56"/>
    <n v="175.77"/>
    <n v="1.72"/>
    <n v="175.25"/>
    <x v="15"/>
    <d v="2025-06-01T00:00:00"/>
    <s v="Colgate"/>
    <s v="23p31a4403@acet.ac.in"/>
    <x v="0"/>
    <n v="166.98150000000001"/>
    <x v="14"/>
    <n v="2493.6600000000003"/>
    <n v="195"/>
    <x v="0"/>
  </r>
  <r>
    <s v="P017"/>
    <x v="1"/>
    <x v="15"/>
    <n v="483"/>
    <n v="62"/>
    <n v="54.59"/>
    <n v="73.06"/>
    <n v="3.1"/>
    <n v="70.459999999999994"/>
    <x v="16"/>
    <d v="2025-07-11T00:00:00"/>
    <s v="Britannia"/>
    <s v="23p31a4403@acet.ac.in"/>
    <x v="0"/>
    <n v="69.406999999999996"/>
    <x v="15"/>
    <n v="7775.87"/>
    <n v="439"/>
    <x v="0"/>
  </r>
  <r>
    <s v="P018"/>
    <x v="5"/>
    <x v="16"/>
    <n v="369"/>
    <n v="70"/>
    <n v="146.13"/>
    <n v="210.75"/>
    <n v="5.18"/>
    <n v="209.63"/>
    <x v="17"/>
    <d v="2025-05-18T00:00:00"/>
    <s v="Godrej"/>
    <s v="23p31a4403@acet.ac.in"/>
    <x v="0"/>
    <n v="200.21249999999998"/>
    <x v="16"/>
    <n v="19321.38"/>
    <n v="428"/>
    <x v="0"/>
  </r>
  <r>
    <s v="P019"/>
    <x v="4"/>
    <x v="17"/>
    <n v="215"/>
    <n v="128"/>
    <n v="20.8"/>
    <n v="30.73"/>
    <n v="5.0199999999999996"/>
    <n v="29.43"/>
    <x v="15"/>
    <d v="2025-05-22T00:00:00"/>
    <s v="Amul"/>
    <s v="23p31a4442@acet.ac.in"/>
    <x v="2"/>
    <n v="24.584000000000003"/>
    <x v="17"/>
    <n v="863.91"/>
    <n v="195"/>
    <x v="0"/>
  </r>
  <r>
    <s v="P020"/>
    <x v="0"/>
    <x v="18"/>
    <n v="459"/>
    <n v="71"/>
    <n v="158.04"/>
    <n v="236.93"/>
    <n v="5.75"/>
    <n v="234.52"/>
    <x v="18"/>
    <d v="2025-05-23T00:00:00"/>
    <s v="Detol"/>
    <s v="23p31a4403@acet.ac.in"/>
    <x v="2"/>
    <n v="189.54400000000001"/>
    <x v="18"/>
    <n v="30609.320000000007"/>
    <n v="45"/>
    <x v="0"/>
  </r>
  <r>
    <s v="P021"/>
    <x v="1"/>
    <x v="19"/>
    <n v="374"/>
    <n v="237"/>
    <n v="166.81"/>
    <n v="202.5"/>
    <n v="5.37"/>
    <n v="199.97"/>
    <x v="19"/>
    <d v="2025-05-17T00:00:00"/>
    <s v="Britannia"/>
    <s v="23p31a4442@acet.ac.in"/>
    <x v="1"/>
    <n v="121.5"/>
    <x v="19"/>
    <n v="4889.53"/>
    <n v="800"/>
    <x v="0"/>
  </r>
  <r>
    <s v="P022"/>
    <x v="4"/>
    <x v="20"/>
    <n v="299"/>
    <n v="162"/>
    <n v="176.99"/>
    <n v="224.07"/>
    <n v="3.69"/>
    <n v="221.51"/>
    <x v="20"/>
    <d v="2025-04-03T00:00:00"/>
    <s v="Amul"/>
    <s v="23p31a4442@acet.ac.in"/>
    <x v="2"/>
    <n v="179.256"/>
    <x v="19"/>
    <n v="6449.9599999999982"/>
    <n v="61"/>
    <x v="0"/>
  </r>
  <r>
    <s v="P023"/>
    <x v="1"/>
    <x v="1"/>
    <n v="349"/>
    <n v="111"/>
    <n v="70.599999999999994"/>
    <n v="90.59"/>
    <n v="4.7300000000000004"/>
    <n v="87.61"/>
    <x v="21"/>
    <d v="2025-06-28T00:00:00"/>
    <s v="Britannia"/>
    <s v="23p31a4442@acet.ac.in"/>
    <x v="2"/>
    <n v="72.472000000000008"/>
    <x v="20"/>
    <n v="4757.6200000000026"/>
    <n v="879"/>
    <x v="0"/>
  </r>
  <r>
    <s v="P024"/>
    <x v="6"/>
    <x v="21"/>
    <n v="425"/>
    <n v="204"/>
    <n v="19.420000000000002"/>
    <n v="26.61"/>
    <n v="6.27"/>
    <n v="25.41"/>
    <x v="8"/>
    <d v="2025-04-23T00:00:00"/>
    <s v="PepsiCo"/>
    <s v="23p31a4442@acet.ac.in"/>
    <x v="1"/>
    <n v="15.965999999999999"/>
    <x v="21"/>
    <n v="1588.9899999999996"/>
    <n v="810"/>
    <x v="0"/>
  </r>
  <r>
    <s v="P025"/>
    <x v="2"/>
    <x v="22"/>
    <n v="465"/>
    <n v="318"/>
    <n v="160.44999999999999"/>
    <n v="199.97"/>
    <n v="4.7300000000000004"/>
    <n v="199.81"/>
    <x v="22"/>
    <d v="2025-07-20T00:00:00"/>
    <s v="ITC"/>
    <s v="23p31a4442@acet.ac.in"/>
    <x v="1"/>
    <n v="119.982"/>
    <x v="22"/>
    <n v="5809.4400000000014"/>
    <n v="565"/>
    <x v="0"/>
  </r>
  <r>
    <s v="P026"/>
    <x v="1"/>
    <x v="23"/>
    <n v="393"/>
    <n v="99"/>
    <n v="148.53"/>
    <n v="203.8"/>
    <n v="2.5"/>
    <n v="201.9"/>
    <x v="23"/>
    <d v="2025-06-27T00:00:00"/>
    <s v="Britannia"/>
    <s v="23p31a4442@acet.ac.in"/>
    <x v="0"/>
    <n v="193.61"/>
    <x v="23"/>
    <n v="16249.380000000003"/>
    <n v="671"/>
    <x v="0"/>
  </r>
  <r>
    <s v="P027"/>
    <x v="5"/>
    <x v="7"/>
    <n v="220"/>
    <n v="155"/>
    <n v="109.23"/>
    <n v="161.16"/>
    <n v="5.23"/>
    <n v="159.59"/>
    <x v="24"/>
    <d v="2025-05-10T00:00:00"/>
    <s v="Godrej"/>
    <s v="23p31a4442@acet.ac.in"/>
    <x v="2"/>
    <n v="128.928"/>
    <x v="24"/>
    <n v="3375.4499999999994"/>
    <n v="124"/>
    <x v="0"/>
  </r>
  <r>
    <s v="P028"/>
    <x v="6"/>
    <x v="24"/>
    <n v="150"/>
    <n v="131"/>
    <n v="78.37"/>
    <n v="112.58"/>
    <n v="9.7200000000000006"/>
    <n v="106.99"/>
    <x v="25"/>
    <d v="2025-04-23T00:00:00"/>
    <s v="PepsiCo"/>
    <s v="23p31a4442@acet.ac.in"/>
    <x v="2"/>
    <n v="90.064000000000007"/>
    <x v="25"/>
    <n v="649.9899999999999"/>
    <n v="553"/>
    <x v="0"/>
  </r>
  <r>
    <s v="P029"/>
    <x v="3"/>
    <x v="8"/>
    <n v="355"/>
    <n v="225"/>
    <n v="65.540000000000006"/>
    <n v="82.3"/>
    <n v="4.5"/>
    <n v="79.39"/>
    <x v="11"/>
    <d v="2025-04-04T00:00:00"/>
    <s v="ITC"/>
    <s v="23p31a4442@acet.ac.in"/>
    <x v="1"/>
    <n v="49.379999999999995"/>
    <x v="26"/>
    <n v="2178.7999999999988"/>
    <n v="30"/>
    <x v="2"/>
  </r>
  <r>
    <s v="P030"/>
    <x v="0"/>
    <x v="3"/>
    <n v="491"/>
    <n v="364"/>
    <n v="97.05"/>
    <n v="144.04"/>
    <n v="4.26"/>
    <n v="142.84"/>
    <x v="26"/>
    <d v="2025-07-12T00:00:00"/>
    <s v="Hindustan Unilever"/>
    <s v="23p31a4442@acet.ac.in"/>
    <x v="1"/>
    <n v="86.423999999999992"/>
    <x v="27"/>
    <n v="5967.73"/>
    <n v="236"/>
    <x v="0"/>
  </r>
  <r>
    <s v="P031"/>
    <x v="1"/>
    <x v="23"/>
    <n v="202"/>
    <n v="135"/>
    <n v="188.69"/>
    <n v="270.08999999999997"/>
    <n v="4.5199999999999996"/>
    <n v="267.18"/>
    <x v="27"/>
    <d v="2025-06-17T00:00:00"/>
    <s v="Britannia"/>
    <s v="23p31a4442@acet.ac.in"/>
    <x v="2"/>
    <n v="216.072"/>
    <x v="28"/>
    <n v="5453.7999999999984"/>
    <n v="447"/>
    <x v="0"/>
  </r>
  <r>
    <s v="P032"/>
    <x v="5"/>
    <x v="25"/>
    <n v="479"/>
    <n v="97"/>
    <n v="190.82"/>
    <n v="279.57"/>
    <n v="2.39"/>
    <n v="278.79000000000002"/>
    <x v="28"/>
    <d v="2025-06-26T00:00:00"/>
    <s v="ITC"/>
    <s v="23p31a4442@acet.ac.in"/>
    <x v="0"/>
    <n v="265.5915"/>
    <x v="2"/>
    <n v="33902.5"/>
    <n v="752"/>
    <x v="0"/>
  </r>
  <r>
    <s v="P033"/>
    <x v="5"/>
    <x v="25"/>
    <n v="227"/>
    <n v="217"/>
    <n v="112.56"/>
    <n v="160.26"/>
    <n v="5.99"/>
    <n v="156.24"/>
    <x v="29"/>
    <d v="2025-04-10T00:00:00"/>
    <s v="ITC"/>
    <s v="23p31a4442@acet.ac.in"/>
    <x v="1"/>
    <n v="96.155999999999992"/>
    <x v="29"/>
    <n v="476.99999999999989"/>
    <n v="15"/>
    <x v="2"/>
  </r>
  <r>
    <s v="P034"/>
    <x v="3"/>
    <x v="4"/>
    <n v="338"/>
    <n v="279"/>
    <n v="64.22"/>
    <n v="89.88"/>
    <n v="5.44"/>
    <n v="87.6"/>
    <x v="30"/>
    <d v="2025-04-06T00:00:00"/>
    <s v="Nestle"/>
    <s v="23p31a4442@acet.ac.in"/>
    <x v="1"/>
    <n v="53.927999999999997"/>
    <x v="30"/>
    <n v="1513.9399999999998"/>
    <n v="49"/>
    <x v="0"/>
  </r>
  <r>
    <s v="P035"/>
    <x v="6"/>
    <x v="21"/>
    <n v="434"/>
    <n v="341"/>
    <n v="160.30000000000001"/>
    <n v="226.21"/>
    <n v="1.41"/>
    <n v="225.33"/>
    <x v="31"/>
    <d v="2025-04-30T00:00:00"/>
    <s v="PepsiCo"/>
    <s v="23p31a4442@acet.ac.in"/>
    <x v="1"/>
    <n v="135.726"/>
    <x v="31"/>
    <n v="6129.63"/>
    <n v="480"/>
    <x v="0"/>
  </r>
  <r>
    <s v="P036"/>
    <x v="5"/>
    <x v="26"/>
    <n v="474"/>
    <n v="265"/>
    <n v="11.28"/>
    <n v="15.05"/>
    <n v="8.48"/>
    <n v="7.63"/>
    <x v="32"/>
    <d v="2025-05-13T00:00:00"/>
    <s v="ITC"/>
    <s v="23p31a4442@acet.ac.in"/>
    <x v="1"/>
    <n v="9.0299999999999994"/>
    <x v="32"/>
    <n v="787.93000000000029"/>
    <n v="359"/>
    <x v="0"/>
  </r>
  <r>
    <s v="P037"/>
    <x v="5"/>
    <x v="7"/>
    <n v="448"/>
    <n v="17"/>
    <n v="92.83"/>
    <n v="118.25"/>
    <n v="1.28"/>
    <n v="117.86"/>
    <x v="33"/>
    <d v="2025-05-01T00:00:00"/>
    <s v="Godrej"/>
    <s v="23p31a4403@acet.ac.in"/>
    <x v="0"/>
    <n v="112.33749999999999"/>
    <x v="33"/>
    <n v="10956.02"/>
    <n v="315"/>
    <x v="0"/>
  </r>
  <r>
    <s v="P038"/>
    <x v="0"/>
    <x v="27"/>
    <n v="435"/>
    <n v="217"/>
    <n v="171.94"/>
    <n v="233.98"/>
    <n v="2.08"/>
    <n v="232.28"/>
    <x v="34"/>
    <d v="2025-07-16T00:00:00"/>
    <s v="Colgate"/>
    <s v="23p31a4442@acet.ac.in"/>
    <x v="1"/>
    <n v="140.38799999999998"/>
    <x v="34"/>
    <n v="13524.719999999998"/>
    <n v="3"/>
    <x v="2"/>
  </r>
  <r>
    <s v="P039"/>
    <x v="0"/>
    <x v="3"/>
    <n v="73"/>
    <n v="55"/>
    <n v="40.51"/>
    <n v="52.88"/>
    <n v="8.57"/>
    <n v="51.38"/>
    <x v="35"/>
    <d v="2025-05-22T00:00:00"/>
    <s v="Hindustan Unilever"/>
    <s v="23p31a4403@acet.ac.in"/>
    <x v="0"/>
    <n v="50.235999999999997"/>
    <x v="4"/>
    <n v="222.66000000000008"/>
    <n v="464"/>
    <x v="0"/>
  </r>
  <r>
    <s v="P040"/>
    <x v="1"/>
    <x v="23"/>
    <n v="52"/>
    <n v="49"/>
    <n v="63"/>
    <n v="82.81"/>
    <n v="9.07"/>
    <n v="74.16"/>
    <x v="36"/>
    <d v="2025-04-28T00:00:00"/>
    <s v="Britannia"/>
    <s v="23p31a4403@acet.ac.in"/>
    <x v="2"/>
    <n v="66.248000000000005"/>
    <x v="35"/>
    <n v="59.430000000000007"/>
    <n v="32"/>
    <x v="2"/>
  </r>
  <r>
    <s v="P041"/>
    <x v="0"/>
    <x v="27"/>
    <n v="341"/>
    <n v="258"/>
    <n v="160.58000000000001"/>
    <n v="217.41"/>
    <n v="5.28"/>
    <n v="214.97"/>
    <x v="37"/>
    <d v="2025-04-12T00:00:00"/>
    <s v="Colgate"/>
    <s v="23p31a4442@acet.ac.in"/>
    <x v="1"/>
    <n v="130.446"/>
    <x v="36"/>
    <n v="4716.8899999999985"/>
    <n v="307"/>
    <x v="0"/>
  </r>
  <r>
    <s v="P042"/>
    <x v="3"/>
    <x v="28"/>
    <n v="92"/>
    <n v="67"/>
    <n v="33.049999999999997"/>
    <n v="41.13"/>
    <n v="9.19"/>
    <n v="33.909999999999997"/>
    <x v="38"/>
    <d v="2025-06-23T00:00:00"/>
    <s v="ITC"/>
    <s v="23p31a4403@acet.ac.in"/>
    <x v="0"/>
    <n v="39.073500000000003"/>
    <x v="37"/>
    <n v="202.00000000000014"/>
    <n v="875"/>
    <x v="0"/>
  </r>
  <r>
    <s v="P043"/>
    <x v="6"/>
    <x v="9"/>
    <n v="402"/>
    <n v="104"/>
    <n v="175.74"/>
    <n v="231.91"/>
    <n v="7.81"/>
    <n v="228.9"/>
    <x v="20"/>
    <d v="2025-06-27T00:00:00"/>
    <s v="Coca Cola India"/>
    <s v="23p31a4442@acet.ac.in"/>
    <x v="2"/>
    <n v="185.52800000000002"/>
    <x v="38"/>
    <n v="16738.659999999996"/>
    <n v="61"/>
    <x v="0"/>
  </r>
  <r>
    <s v="P044"/>
    <x v="1"/>
    <x v="23"/>
    <n v="117"/>
    <n v="90"/>
    <n v="80.12"/>
    <n v="99.83"/>
    <n v="7.58"/>
    <n v="99.24"/>
    <x v="39"/>
    <d v="2025-04-04T00:00:00"/>
    <s v="Britannia"/>
    <s v="23p31a4442@acet.ac.in"/>
    <x v="0"/>
    <n v="94.838499999999996"/>
    <x v="39"/>
    <n v="532.16999999999985"/>
    <n v="208"/>
    <x v="0"/>
  </r>
  <r>
    <s v="P045"/>
    <x v="1"/>
    <x v="1"/>
    <n v="269"/>
    <n v="53"/>
    <n v="57.83"/>
    <n v="73.8"/>
    <n v="3.11"/>
    <n v="71.510000000000005"/>
    <x v="40"/>
    <d v="2025-04-22T00:00:00"/>
    <s v="Britannia"/>
    <s v="23p31a42c0@acet.ac.in"/>
    <x v="0"/>
    <n v="70.11"/>
    <x v="40"/>
    <n v="3449.5199999999995"/>
    <n v="300"/>
    <x v="0"/>
  </r>
  <r>
    <s v="P046"/>
    <x v="0"/>
    <x v="0"/>
    <n v="158"/>
    <n v="153"/>
    <n v="131.15"/>
    <n v="171.18"/>
    <n v="1.74"/>
    <n v="171.18"/>
    <x v="41"/>
    <d v="2025-07-20T00:00:00"/>
    <s v="Detol"/>
    <s v="23p31a4442@acet.ac.in"/>
    <x v="2"/>
    <n v="136.94400000000002"/>
    <x v="41"/>
    <n v="200.15"/>
    <n v="153"/>
    <x v="0"/>
  </r>
  <r>
    <s v="P047"/>
    <x v="5"/>
    <x v="25"/>
    <n v="178"/>
    <n v="158"/>
    <n v="95.01"/>
    <n v="134.19"/>
    <n v="8.7799999999999994"/>
    <n v="132.91"/>
    <x v="42"/>
    <d v="2025-06-12T00:00:00"/>
    <s v="ITC"/>
    <s v="23p31a4442@acet.ac.in"/>
    <x v="2"/>
    <n v="107.352"/>
    <x v="42"/>
    <n v="783.59999999999991"/>
    <n v="755"/>
    <x v="0"/>
  </r>
  <r>
    <s v="P048"/>
    <x v="0"/>
    <x v="27"/>
    <n v="492"/>
    <n v="181"/>
    <n v="32.56"/>
    <n v="43.6"/>
    <n v="4.8899999999999997"/>
    <n v="39.380000000000003"/>
    <x v="43"/>
    <d v="2025-04-10T00:00:00"/>
    <s v="Colgate"/>
    <s v="23p31a4442@acet.ac.in"/>
    <x v="2"/>
    <n v="34.880000000000003"/>
    <x v="43"/>
    <n v="3433.4399999999996"/>
    <n v="264"/>
    <x v="0"/>
  </r>
  <r>
    <s v="P049"/>
    <x v="3"/>
    <x v="8"/>
    <n v="87"/>
    <n v="31"/>
    <n v="144.6"/>
    <n v="175.98"/>
    <n v="3.9"/>
    <n v="175.8"/>
    <x v="44"/>
    <d v="2025-04-26T00:00:00"/>
    <s v="ITC"/>
    <s v="23p31a4403@acet.ac.in"/>
    <x v="1"/>
    <n v="105.58799999999999"/>
    <x v="44"/>
    <n v="1757.2799999999997"/>
    <n v="9"/>
    <x v="2"/>
  </r>
  <r>
    <s v="P050"/>
    <x v="5"/>
    <x v="7"/>
    <n v="215"/>
    <n v="149"/>
    <n v="87.78"/>
    <n v="130.55000000000001"/>
    <n v="4.67"/>
    <n v="125.9"/>
    <x v="45"/>
    <d v="2025-06-03T00:00:00"/>
    <s v="Godrej"/>
    <s v="23p31a4442@acet.ac.in"/>
    <x v="2"/>
    <n v="104.44000000000001"/>
    <x v="45"/>
    <n v="2822.8200000000006"/>
    <n v="323"/>
    <x v="0"/>
  </r>
  <r>
    <s v="P051"/>
    <x v="1"/>
    <x v="23"/>
    <n v="260"/>
    <n v="236"/>
    <n v="174.33"/>
    <n v="242.42"/>
    <n v="1.3"/>
    <n v="242.17"/>
    <x v="46"/>
    <d v="2025-06-24T00:00:00"/>
    <s v="Britannia"/>
    <s v="23p31a4442@acet.ac.in"/>
    <x v="1"/>
    <n v="145.452"/>
    <x v="46"/>
    <n v="1634.1599999999994"/>
    <n v="544"/>
    <x v="0"/>
  </r>
  <r>
    <s v="P052"/>
    <x v="0"/>
    <x v="27"/>
    <n v="91"/>
    <n v="43"/>
    <n v="44.41"/>
    <n v="62.69"/>
    <n v="3.65"/>
    <n v="62.3"/>
    <x v="47"/>
    <d v="2025-07-17T00:00:00"/>
    <s v="Colgate"/>
    <s v="23p31a4403@acet.ac.in"/>
    <x v="0"/>
    <n v="59.555499999999995"/>
    <x v="47"/>
    <n v="877.44"/>
    <n v="849"/>
    <x v="0"/>
  </r>
  <r>
    <s v="P053"/>
    <x v="0"/>
    <x v="3"/>
    <n v="283"/>
    <n v="59"/>
    <n v="109.38"/>
    <n v="134.69"/>
    <n v="1.78"/>
    <n v="133.30000000000001"/>
    <x v="48"/>
    <d v="2025-05-09T00:00:00"/>
    <s v="Hindustan Unilever"/>
    <s v="23p31a4403@acet.ac.in"/>
    <x v="0"/>
    <n v="127.95549999999999"/>
    <x v="48"/>
    <n v="5669.4400000000005"/>
    <n v="538"/>
    <x v="0"/>
  </r>
  <r>
    <s v="P054"/>
    <x v="3"/>
    <x v="4"/>
    <n v="360"/>
    <n v="235"/>
    <n v="178.46"/>
    <n v="257.86"/>
    <n v="2.14"/>
    <n v="255.73"/>
    <x v="49"/>
    <d v="2025-05-19T00:00:00"/>
    <s v="Nestle"/>
    <s v="23p31a4442@acet.ac.in"/>
    <x v="1"/>
    <n v="154.71600000000001"/>
    <x v="49"/>
    <n v="9925"/>
    <n v="149"/>
    <x v="0"/>
  </r>
  <r>
    <s v="P055"/>
    <x v="0"/>
    <x v="27"/>
    <n v="142"/>
    <n v="29"/>
    <n v="126.8"/>
    <n v="160.16"/>
    <n v="7.01"/>
    <n v="158.97999999999999"/>
    <x v="50"/>
    <d v="2025-06-13T00:00:00"/>
    <s v="Colgate"/>
    <s v="23p31a4403@acet.ac.in"/>
    <x v="1"/>
    <n v="96.095999999999989"/>
    <x v="50"/>
    <n v="3769.68"/>
    <n v="23"/>
    <x v="2"/>
  </r>
  <r>
    <s v="P056"/>
    <x v="3"/>
    <x v="4"/>
    <n v="362"/>
    <n v="182"/>
    <n v="106.93"/>
    <n v="132.13"/>
    <n v="1.43"/>
    <n v="131.63999999999999"/>
    <x v="51"/>
    <d v="2025-06-10T00:00:00"/>
    <s v="Nestle"/>
    <s v="23p31a4442@acet.ac.in"/>
    <x v="2"/>
    <n v="105.70400000000001"/>
    <x v="51"/>
    <n v="4535.9999999999982"/>
    <n v="157"/>
    <x v="0"/>
  </r>
  <r>
    <s v="P057"/>
    <x v="3"/>
    <x v="4"/>
    <n v="294"/>
    <n v="133"/>
    <n v="96.63"/>
    <n v="122.6"/>
    <n v="7.19"/>
    <n v="117.38"/>
    <x v="52"/>
    <d v="2025-07-05T00:00:00"/>
    <s v="Nestle"/>
    <s v="23p31a4442@acet.ac.in"/>
    <x v="2"/>
    <n v="98.08"/>
    <x v="52"/>
    <n v="4181.17"/>
    <n v="112"/>
    <x v="0"/>
  </r>
  <r>
    <s v="P058"/>
    <x v="3"/>
    <x v="4"/>
    <n v="121"/>
    <n v="96"/>
    <n v="39.67"/>
    <n v="51.69"/>
    <n v="8.06"/>
    <n v="49.27"/>
    <x v="53"/>
    <d v="2025-04-20T00:00:00"/>
    <s v="Nestle"/>
    <s v="23p31a4442@acet.ac.in"/>
    <x v="0"/>
    <n v="49.105499999999992"/>
    <x v="37"/>
    <n v="300.49999999999989"/>
    <n v="483"/>
    <x v="0"/>
  </r>
  <r>
    <s v="P059"/>
    <x v="6"/>
    <x v="21"/>
    <n v="319"/>
    <n v="36"/>
    <n v="177.91"/>
    <n v="221.11"/>
    <n v="7.8"/>
    <n v="218.18"/>
    <x v="54"/>
    <d v="2025-05-02T00:00:00"/>
    <s v="PepsiCo"/>
    <s v="23p31a4403@acet.ac.in"/>
    <x v="1"/>
    <n v="132.666"/>
    <x v="53"/>
    <n v="12225.600000000004"/>
    <n v="29"/>
    <x v="2"/>
  </r>
  <r>
    <s v="P060"/>
    <x v="3"/>
    <x v="4"/>
    <n v="302"/>
    <n v="260"/>
    <n v="30.2"/>
    <n v="40.380000000000003"/>
    <n v="9.5500000000000007"/>
    <n v="31.77"/>
    <x v="55"/>
    <d v="2025-06-15T00:00:00"/>
    <s v="Nestle"/>
    <s v="23p31a4442@acet.ac.in"/>
    <x v="1"/>
    <n v="24.228000000000002"/>
    <x v="54"/>
    <n v="427.56000000000012"/>
    <n v="882"/>
    <x v="0"/>
  </r>
  <r>
    <s v="P061"/>
    <x v="3"/>
    <x v="8"/>
    <n v="170"/>
    <n v="136"/>
    <n v="92.24"/>
    <n v="132.21"/>
    <n v="2.16"/>
    <n v="131.19999999999999"/>
    <x v="56"/>
    <d v="2025-06-22T00:00:00"/>
    <s v="ITC"/>
    <s v="23p31a4442@acet.ac.in"/>
    <x v="2"/>
    <n v="105.76800000000001"/>
    <x v="55"/>
    <n v="1358.9800000000005"/>
    <n v="835"/>
    <x v="0"/>
  </r>
  <r>
    <s v="P062"/>
    <x v="1"/>
    <x v="23"/>
    <n v="80"/>
    <n v="23"/>
    <n v="131.16999999999999"/>
    <n v="179.42"/>
    <n v="5.26"/>
    <n v="175.77"/>
    <x v="20"/>
    <d v="2025-04-23T00:00:00"/>
    <s v="Britannia"/>
    <s v="23p31a4403@acet.ac.in"/>
    <x v="2"/>
    <n v="143.536"/>
    <x v="56"/>
    <n v="2750.25"/>
    <n v="61"/>
    <x v="0"/>
  </r>
  <r>
    <s v="P063"/>
    <x v="6"/>
    <x v="21"/>
    <n v="368"/>
    <n v="242"/>
    <n v="189.84"/>
    <n v="263.20999999999998"/>
    <n v="9.94"/>
    <n v="262.70999999999998"/>
    <x v="57"/>
    <d v="2025-05-19T00:00:00"/>
    <s v="PepsiCo"/>
    <s v="23p31a4442@acet.ac.in"/>
    <x v="1"/>
    <n v="157.92599999999999"/>
    <x v="57"/>
    <n v="9244.6199999999972"/>
    <n v="171"/>
    <x v="0"/>
  </r>
  <r>
    <s v="P064"/>
    <x v="7"/>
    <x v="29"/>
    <n v="486"/>
    <n v="212"/>
    <n v="37.799999999999997"/>
    <n v="54.59"/>
    <n v="5.89"/>
    <n v="53.22"/>
    <x v="58"/>
    <d v="2025-04-20T00:00:00"/>
    <s v="Hindustan Unilever"/>
    <s v="23p31a4442@acet.ac.in"/>
    <x v="1"/>
    <n v="32.753999999999998"/>
    <x v="58"/>
    <n v="4600.4600000000019"/>
    <n v="440"/>
    <x v="0"/>
  </r>
  <r>
    <s v="P065"/>
    <x v="5"/>
    <x v="25"/>
    <n v="376"/>
    <n v="288"/>
    <n v="64.47"/>
    <n v="80.58"/>
    <n v="9.24"/>
    <n v="74.959999999999994"/>
    <x v="59"/>
    <d v="2025-04-13T00:00:00"/>
    <s v="ITC"/>
    <s v="23p31a4442@acet.ac.in"/>
    <x v="1"/>
    <n v="48.347999999999999"/>
    <x v="3"/>
    <n v="1417.6799999999998"/>
    <n v="557"/>
    <x v="0"/>
  </r>
  <r>
    <s v="P066"/>
    <x v="0"/>
    <x v="27"/>
    <n v="466"/>
    <n v="403"/>
    <n v="193.18"/>
    <n v="234.5"/>
    <n v="5.61"/>
    <n v="229.74"/>
    <x v="60"/>
    <d v="2025-04-15T00:00:00"/>
    <s v="Colgate"/>
    <s v="23p31a4442@acet.ac.in"/>
    <x v="1"/>
    <n v="140.69999999999999"/>
    <x v="59"/>
    <n v="2603.1599999999994"/>
    <n v="493"/>
    <x v="0"/>
  </r>
  <r>
    <s v="P067"/>
    <x v="0"/>
    <x v="27"/>
    <n v="400"/>
    <n v="390"/>
    <n v="64.12"/>
    <n v="87.96"/>
    <n v="5.39"/>
    <n v="87.23"/>
    <x v="61"/>
    <d v="2025-05-26T00:00:00"/>
    <s v="Colgate"/>
    <s v="23p31a4442@acet.ac.in"/>
    <x v="1"/>
    <n v="52.775999999999996"/>
    <x v="29"/>
    <n v="238.39999999999989"/>
    <n v="320"/>
    <x v="0"/>
  </r>
  <r>
    <s v="P068"/>
    <x v="0"/>
    <x v="0"/>
    <n v="119"/>
    <n v="20"/>
    <n v="58.38"/>
    <n v="86.21"/>
    <n v="4.03"/>
    <n v="83.99"/>
    <x v="62"/>
    <d v="2025-05-13T00:00:00"/>
    <s v="Detol"/>
    <s v="23p31a4403@acet.ac.in"/>
    <x v="0"/>
    <n v="81.899499999999989"/>
    <x v="60"/>
    <n v="2755.1699999999992"/>
    <n v="534"/>
    <x v="0"/>
  </r>
  <r>
    <s v="P069"/>
    <x v="6"/>
    <x v="9"/>
    <n v="116"/>
    <n v="60"/>
    <n v="15.41"/>
    <n v="18.760000000000002"/>
    <n v="4.6900000000000004"/>
    <n v="17.52"/>
    <x v="63"/>
    <d v="2025-04-27T00:00:00"/>
    <s v="Coca Cola India"/>
    <s v="23p31a4403@acet.ac.in"/>
    <x v="0"/>
    <n v="17.821999999999999"/>
    <x v="44"/>
    <n v="187.60000000000008"/>
    <n v="874"/>
    <x v="0"/>
  </r>
  <r>
    <s v="P070"/>
    <x v="1"/>
    <x v="1"/>
    <n v="94"/>
    <n v="12"/>
    <n v="130.16999999999999"/>
    <n v="192.07"/>
    <n v="2.63"/>
    <n v="191.59"/>
    <x v="64"/>
    <d v="2025-04-03T00:00:00"/>
    <s v="Britannia"/>
    <s v="23p31a4403@acet.ac.in"/>
    <x v="0"/>
    <n v="182.4665"/>
    <x v="61"/>
    <n v="5075.8"/>
    <n v="855"/>
    <x v="0"/>
  </r>
  <r>
    <s v="P071"/>
    <x v="0"/>
    <x v="27"/>
    <n v="289"/>
    <n v="268"/>
    <n v="47.71"/>
    <n v="67.17"/>
    <n v="7.82"/>
    <n v="61.9"/>
    <x v="65"/>
    <d v="2025-05-17T00:00:00"/>
    <s v="Colgate"/>
    <s v="23p31a4442@acet.ac.in"/>
    <x v="1"/>
    <n v="40.302"/>
    <x v="62"/>
    <n v="408.66"/>
    <n v="818"/>
    <x v="0"/>
  </r>
  <r>
    <s v="P072"/>
    <x v="2"/>
    <x v="2"/>
    <n v="281"/>
    <n v="106"/>
    <n v="169.21"/>
    <n v="236.28"/>
    <n v="4.1900000000000004"/>
    <n v="236.14"/>
    <x v="66"/>
    <d v="2025-06-07T00:00:00"/>
    <s v="ITC"/>
    <s v="23p31a4442@acet.ac.in"/>
    <x v="2"/>
    <n v="189.024"/>
    <x v="63"/>
    <n v="11737.249999999998"/>
    <n v="406"/>
    <x v="0"/>
  </r>
  <r>
    <s v="P073"/>
    <x v="5"/>
    <x v="7"/>
    <n v="256"/>
    <n v="251"/>
    <n v="64.459999999999994"/>
    <n v="85.86"/>
    <n v="7.9"/>
    <n v="81.41"/>
    <x v="67"/>
    <d v="2025-07-01T00:00:00"/>
    <s v="Godrej"/>
    <s v="23p31a4442@acet.ac.in"/>
    <x v="1"/>
    <n v="51.515999999999998"/>
    <x v="41"/>
    <n v="107.00000000000003"/>
    <n v="132"/>
    <x v="0"/>
  </r>
  <r>
    <s v="P074"/>
    <x v="7"/>
    <x v="29"/>
    <n v="408"/>
    <n v="378"/>
    <n v="113.7"/>
    <n v="159.87"/>
    <n v="5.14"/>
    <n v="154.75"/>
    <x v="68"/>
    <d v="2025-05-03T00:00:00"/>
    <s v="Hindustan Unilever"/>
    <s v="23p31a4442@acet.ac.in"/>
    <x v="1"/>
    <n v="95.921999999999997"/>
    <x v="64"/>
    <n v="1385.1000000000001"/>
    <n v="837"/>
    <x v="0"/>
  </r>
  <r>
    <s v="P075"/>
    <x v="1"/>
    <x v="6"/>
    <n v="347"/>
    <n v="19"/>
    <n v="107.04"/>
    <n v="135.77000000000001"/>
    <n v="4.4400000000000004"/>
    <n v="131.51"/>
    <x v="69"/>
    <d v="2025-06-16T00:00:00"/>
    <s v="ITC"/>
    <s v="23p31a4403@acet.ac.in"/>
    <x v="0"/>
    <n v="128.98150000000001"/>
    <x v="65"/>
    <n v="9423.44"/>
    <n v="533"/>
    <x v="0"/>
  </r>
  <r>
    <s v="P076"/>
    <x v="3"/>
    <x v="8"/>
    <n v="134"/>
    <n v="94"/>
    <n v="117.26"/>
    <n v="163.97"/>
    <n v="9.0500000000000007"/>
    <n v="162.55000000000001"/>
    <x v="70"/>
    <d v="2025-04-13T00:00:00"/>
    <s v="ITC"/>
    <s v="23p31a4442@acet.ac.in"/>
    <x v="0"/>
    <n v="155.7715"/>
    <x v="0"/>
    <n v="1868.3999999999996"/>
    <n v="703"/>
    <x v="0"/>
  </r>
  <r>
    <s v="P077"/>
    <x v="0"/>
    <x v="3"/>
    <n v="384"/>
    <n v="59"/>
    <n v="166.94"/>
    <n v="212.45"/>
    <n v="3.17"/>
    <n v="210.25"/>
    <x v="34"/>
    <d v="2025-04-10T00:00:00"/>
    <s v="Hindustan Unilever"/>
    <s v="23p31a4403@acet.ac.in"/>
    <x v="1"/>
    <n v="127.46999999999998"/>
    <x v="66"/>
    <n v="14790.749999999996"/>
    <n v="3"/>
    <x v="2"/>
  </r>
  <r>
    <s v="P078"/>
    <x v="4"/>
    <x v="30"/>
    <n v="471"/>
    <n v="377"/>
    <n v="178.51"/>
    <n v="219.79"/>
    <n v="4.5199999999999996"/>
    <n v="217.91"/>
    <x v="71"/>
    <d v="2025-05-23T00:00:00"/>
    <s v="Nestle"/>
    <s v="23p31a4442@acet.ac.in"/>
    <x v="1"/>
    <n v="131.874"/>
    <x v="67"/>
    <n v="3880.32"/>
    <n v="31"/>
    <x v="2"/>
  </r>
  <r>
    <s v="P079"/>
    <x v="0"/>
    <x v="3"/>
    <n v="253"/>
    <n v="92"/>
    <n v="23.26"/>
    <n v="31.73"/>
    <n v="6.02"/>
    <n v="30.07"/>
    <x v="72"/>
    <d v="2025-06-15T00:00:00"/>
    <s v="Hindustan Unilever"/>
    <s v="23p31a4442@acet.ac.in"/>
    <x v="0"/>
    <n v="30.1435"/>
    <x v="52"/>
    <n v="1363.6699999999998"/>
    <n v="197"/>
    <x v="0"/>
  </r>
  <r>
    <s v="P080"/>
    <x v="5"/>
    <x v="25"/>
    <n v="52"/>
    <n v="29"/>
    <n v="196.05"/>
    <n v="251.46"/>
    <n v="9.58"/>
    <n v="242.03"/>
    <x v="73"/>
    <d v="2025-05-18T00:00:00"/>
    <s v="ITC"/>
    <s v="23p31a4403@acet.ac.in"/>
    <x v="0"/>
    <n v="238.887"/>
    <x v="68"/>
    <n v="1274.4299999999998"/>
    <n v="753"/>
    <x v="0"/>
  </r>
  <r>
    <s v="P081"/>
    <x v="5"/>
    <x v="7"/>
    <n v="330"/>
    <n v="242"/>
    <n v="167.64"/>
    <n v="219.65"/>
    <n v="9.7100000000000009"/>
    <n v="213.48"/>
    <x v="74"/>
    <d v="2025-04-24T00:00:00"/>
    <s v="Godrej"/>
    <s v="23p31a4442@acet.ac.in"/>
    <x v="1"/>
    <n v="131.79"/>
    <x v="3"/>
    <n v="4576.8800000000019"/>
    <n v="298"/>
    <x v="0"/>
  </r>
  <r>
    <s v="P082"/>
    <x v="5"/>
    <x v="26"/>
    <n v="414"/>
    <n v="320"/>
    <n v="87.84"/>
    <n v="118.31"/>
    <n v="7.46"/>
    <n v="115.16"/>
    <x v="75"/>
    <d v="2025-06-30T00:00:00"/>
    <s v="ITC"/>
    <s v="23p31a4442@acet.ac.in"/>
    <x v="1"/>
    <n v="70.986000000000004"/>
    <x v="67"/>
    <n v="2864.18"/>
    <n v="388"/>
    <x v="0"/>
  </r>
  <r>
    <s v="P083"/>
    <x v="6"/>
    <x v="21"/>
    <n v="204"/>
    <n v="145"/>
    <n v="105.56"/>
    <n v="152.03"/>
    <n v="8.5"/>
    <n v="143.69"/>
    <x v="76"/>
    <d v="2025-07-19T00:00:00"/>
    <s v="PepsiCo"/>
    <s v="23p31a4442@acet.ac.in"/>
    <x v="2"/>
    <n v="121.62400000000001"/>
    <x v="30"/>
    <n v="2741.73"/>
    <n v="628"/>
    <x v="0"/>
  </r>
  <r>
    <s v="P084"/>
    <x v="7"/>
    <x v="29"/>
    <n v="285"/>
    <n v="257"/>
    <n v="38.200000000000003"/>
    <n v="52.34"/>
    <n v="8.09"/>
    <n v="52.22"/>
    <x v="77"/>
    <d v="2025-07-15T00:00:00"/>
    <s v="Hindustan Unilever"/>
    <s v="23p31a4442@acet.ac.in"/>
    <x v="1"/>
    <n v="31.404"/>
    <x v="69"/>
    <n v="395.92"/>
    <n v="371"/>
    <x v="0"/>
  </r>
  <r>
    <s v="P085"/>
    <x v="1"/>
    <x v="6"/>
    <n v="139"/>
    <n v="67"/>
    <n v="134.97"/>
    <n v="187.54"/>
    <n v="8.4600000000000009"/>
    <n v="185.79"/>
    <x v="71"/>
    <d v="2025-07-18T00:00:00"/>
    <s v="ITC"/>
    <s v="23p31a4442@acet.ac.in"/>
    <x v="2"/>
    <n v="150.03200000000001"/>
    <x v="70"/>
    <n v="3785.0399999999995"/>
    <n v="31"/>
    <x v="2"/>
  </r>
  <r>
    <s v="P086"/>
    <x v="5"/>
    <x v="7"/>
    <n v="234"/>
    <n v="129"/>
    <n v="17.43"/>
    <n v="23.23"/>
    <n v="7.74"/>
    <n v="20.73"/>
    <x v="78"/>
    <d v="2025-05-28T00:00:00"/>
    <s v="Godrej"/>
    <s v="23p31a4442@acet.ac.in"/>
    <x v="2"/>
    <n v="18.584"/>
    <x v="71"/>
    <n v="609.00000000000011"/>
    <n v="301"/>
    <x v="0"/>
  </r>
  <r>
    <s v="P087"/>
    <x v="4"/>
    <x v="31"/>
    <n v="350"/>
    <n v="252"/>
    <n v="92.7"/>
    <n v="136.21"/>
    <n v="5.39"/>
    <n v="134.08000000000001"/>
    <x v="79"/>
    <d v="2025-04-24T00:00:00"/>
    <s v="Amul"/>
    <s v="23p31a4442@acet.ac.in"/>
    <x v="1"/>
    <n v="81.725999999999999"/>
    <x v="72"/>
    <n v="4263.9800000000005"/>
    <n v="784"/>
    <x v="0"/>
  </r>
  <r>
    <s v="P088"/>
    <x v="0"/>
    <x v="3"/>
    <n v="239"/>
    <n v="108"/>
    <n v="36.67"/>
    <n v="48.15"/>
    <n v="9.8000000000000007"/>
    <n v="39.700000000000003"/>
    <x v="80"/>
    <d v="2025-06-20T00:00:00"/>
    <s v="Hindustan Unilever"/>
    <s v="23p31a4442@acet.ac.in"/>
    <x v="2"/>
    <n v="38.520000000000003"/>
    <x v="73"/>
    <n v="1503.8799999999997"/>
    <n v="731"/>
    <x v="0"/>
  </r>
  <r>
    <s v="P089"/>
    <x v="6"/>
    <x v="21"/>
    <n v="252"/>
    <n v="113"/>
    <n v="89.82"/>
    <n v="113.36"/>
    <n v="7.5"/>
    <n v="112.1"/>
    <x v="81"/>
    <d v="2025-06-21T00:00:00"/>
    <s v="PepsiCo"/>
    <s v="23p31a4442@acet.ac.in"/>
    <x v="2"/>
    <n v="90.688000000000002"/>
    <x v="74"/>
    <n v="3272.0600000000009"/>
    <n v="263"/>
    <x v="0"/>
  </r>
  <r>
    <s v="P090"/>
    <x v="6"/>
    <x v="21"/>
    <n v="329"/>
    <n v="249"/>
    <n v="53.25"/>
    <n v="67.53"/>
    <n v="1.71"/>
    <n v="66.260000000000005"/>
    <x v="82"/>
    <d v="2025-05-11T00:00:00"/>
    <s v="PepsiCo"/>
    <s v="23p31a4442@acet.ac.in"/>
    <x v="1"/>
    <n v="40.518000000000001"/>
    <x v="75"/>
    <n v="1142.4000000000001"/>
    <n v="309"/>
    <x v="0"/>
  </r>
  <r>
    <s v="P091"/>
    <x v="5"/>
    <x v="25"/>
    <n v="179"/>
    <n v="91"/>
    <n v="32.119999999999997"/>
    <n v="46.46"/>
    <n v="3.56"/>
    <n v="44.3"/>
    <x v="42"/>
    <d v="2025-06-18T00:00:00"/>
    <s v="ITC"/>
    <s v="23p31a4442@acet.ac.in"/>
    <x v="0"/>
    <n v="44.137"/>
    <x v="3"/>
    <n v="1261.9200000000003"/>
    <n v="755"/>
    <x v="0"/>
  </r>
  <r>
    <s v="P092"/>
    <x v="1"/>
    <x v="1"/>
    <n v="137"/>
    <n v="72"/>
    <n v="164.51"/>
    <n v="209.04"/>
    <n v="6.68"/>
    <n v="202.41"/>
    <x v="71"/>
    <d v="2025-06-07T00:00:00"/>
    <s v="Britannia"/>
    <s v="23p31a4403@acet.ac.in"/>
    <x v="2"/>
    <n v="167.232"/>
    <x v="24"/>
    <n v="2894.4500000000003"/>
    <n v="31"/>
    <x v="2"/>
  </r>
  <r>
    <s v="P093"/>
    <x v="3"/>
    <x v="4"/>
    <n v="488"/>
    <n v="413"/>
    <n v="102.05"/>
    <n v="144.96"/>
    <n v="9.61"/>
    <n v="135.52000000000001"/>
    <x v="83"/>
    <d v="2025-06-26T00:00:00"/>
    <s v="Nestle"/>
    <s v="23p31a4442@acet.ac.in"/>
    <x v="1"/>
    <n v="86.975999999999999"/>
    <x v="76"/>
    <n v="3218.2500000000009"/>
    <n v="520"/>
    <x v="0"/>
  </r>
  <r>
    <s v="P094"/>
    <x v="0"/>
    <x v="0"/>
    <n v="359"/>
    <n v="258"/>
    <n v="67.959999999999994"/>
    <n v="93.21"/>
    <n v="5.62"/>
    <n v="88"/>
    <x v="76"/>
    <d v="2025-04-01T00:00:00"/>
    <s v="Detol"/>
    <s v="23p31a4442@acet.ac.in"/>
    <x v="1"/>
    <n v="55.925999999999995"/>
    <x v="77"/>
    <n v="2550.25"/>
    <n v="628"/>
    <x v="0"/>
  </r>
  <r>
    <s v="P095"/>
    <x v="1"/>
    <x v="1"/>
    <n v="124"/>
    <n v="86"/>
    <n v="72.23"/>
    <n v="102.34"/>
    <n v="1.53"/>
    <n v="101.03"/>
    <x v="84"/>
    <d v="2025-05-14T00:00:00"/>
    <s v="Britannia"/>
    <s v="23p31a4442@acet.ac.in"/>
    <x v="0"/>
    <n v="97.222999999999999"/>
    <x v="78"/>
    <n v="1144.18"/>
    <n v="689"/>
    <x v="0"/>
  </r>
  <r>
    <s v="P096"/>
    <x v="4"/>
    <x v="32"/>
    <n v="417"/>
    <n v="25"/>
    <n v="127.97"/>
    <n v="176.07"/>
    <n v="9.61"/>
    <n v="175.59"/>
    <x v="20"/>
    <d v="2025-04-25T00:00:00"/>
    <s v="Amul"/>
    <s v="23p31a4403@acet.ac.in"/>
    <x v="2"/>
    <n v="140.85599999999999"/>
    <x v="79"/>
    <n v="18855.199999999997"/>
    <n v="61"/>
    <x v="0"/>
  </r>
  <r>
    <s v="P097"/>
    <x v="0"/>
    <x v="27"/>
    <n v="203"/>
    <n v="49"/>
    <n v="22.77"/>
    <n v="29.35"/>
    <n v="8.4499999999999993"/>
    <n v="27.95"/>
    <x v="85"/>
    <d v="2025-06-15T00:00:00"/>
    <s v="Colgate"/>
    <s v="23p31a4403@acet.ac.in"/>
    <x v="0"/>
    <n v="27.8825"/>
    <x v="80"/>
    <n v="1013.3200000000003"/>
    <n v="373"/>
    <x v="0"/>
  </r>
  <r>
    <s v="P098"/>
    <x v="6"/>
    <x v="9"/>
    <n v="234"/>
    <n v="171"/>
    <n v="148.66999999999999"/>
    <n v="198.54"/>
    <n v="5.28"/>
    <n v="194.19"/>
    <x v="86"/>
    <d v="2025-05-19T00:00:00"/>
    <s v="Coca Cola India"/>
    <s v="23p31a4442@acet.ac.in"/>
    <x v="2"/>
    <n v="158.83199999999999"/>
    <x v="59"/>
    <n v="3141.8100000000004"/>
    <n v="78"/>
    <x v="0"/>
  </r>
  <r>
    <s v="P099"/>
    <x v="6"/>
    <x v="24"/>
    <n v="142"/>
    <n v="72"/>
    <n v="124.38"/>
    <n v="166.52"/>
    <n v="9.01"/>
    <n v="161.91999999999999"/>
    <x v="73"/>
    <d v="2025-06-01T00:00:00"/>
    <s v="PepsiCo"/>
    <s v="23p31a4403@acet.ac.in"/>
    <x v="0"/>
    <n v="158.19399999999999"/>
    <x v="81"/>
    <n v="2949.8000000000011"/>
    <n v="753"/>
    <x v="0"/>
  </r>
  <r>
    <s v="P100"/>
    <x v="1"/>
    <x v="6"/>
    <n v="411"/>
    <n v="246"/>
    <n v="184.84"/>
    <n v="236.32"/>
    <n v="8.86"/>
    <n v="232.74"/>
    <x v="87"/>
    <d v="2025-06-29T00:00:00"/>
    <s v="ITC"/>
    <s v="23p31a4442@acet.ac.in"/>
    <x v="1"/>
    <n v="141.792"/>
    <x v="82"/>
    <n v="8494.1999999999989"/>
    <n v="715"/>
    <x v="0"/>
  </r>
  <r>
    <s v="P101"/>
    <x v="7"/>
    <x v="29"/>
    <n v="307"/>
    <n v="140"/>
    <n v="43.77"/>
    <n v="52.76"/>
    <n v="6.75"/>
    <n v="46.68"/>
    <x v="88"/>
    <d v="2025-07-07T00:00:00"/>
    <s v="Hindustan Unilever"/>
    <s v="23p31a4442@acet.ac.in"/>
    <x v="2"/>
    <n v="42.207999999999998"/>
    <x v="83"/>
    <n v="1501.3299999999992"/>
    <n v="417"/>
    <x v="0"/>
  </r>
  <r>
    <s v="P102"/>
    <x v="6"/>
    <x v="21"/>
    <n v="329"/>
    <n v="6"/>
    <n v="198.61"/>
    <n v="277.48"/>
    <n v="5.7"/>
    <n v="272.04000000000002"/>
    <x v="89"/>
    <d v="2025-06-03T00:00:00"/>
    <s v="PepsiCo"/>
    <s v="23p31a4403@acet.ac.in"/>
    <x v="0"/>
    <n v="263.60599999999999"/>
    <x v="84"/>
    <n v="25475.010000000002"/>
    <n v="492"/>
    <x v="0"/>
  </r>
  <r>
    <s v="P103"/>
    <x v="7"/>
    <x v="29"/>
    <n v="430"/>
    <n v="141"/>
    <n v="161.94"/>
    <n v="219.24"/>
    <n v="9.4700000000000006"/>
    <n v="214.18"/>
    <x v="90"/>
    <d v="2025-05-18T00:00:00"/>
    <s v="Hindustan Unilever"/>
    <s v="23p31a4442@acet.ac.in"/>
    <x v="2"/>
    <n v="175.39200000000002"/>
    <x v="85"/>
    <n v="16559.700000000004"/>
    <n v="445"/>
    <x v="0"/>
  </r>
  <r>
    <s v="P104"/>
    <x v="0"/>
    <x v="27"/>
    <n v="214"/>
    <n v="179"/>
    <n v="186.06"/>
    <n v="265.27999999999997"/>
    <n v="2.9"/>
    <n v="263.97000000000003"/>
    <x v="87"/>
    <d v="2025-07-22T00:00:00"/>
    <s v="Colgate"/>
    <s v="23p31a4442@acet.ac.in"/>
    <x v="2"/>
    <n v="212.22399999999999"/>
    <x v="12"/>
    <n v="2772.6999999999989"/>
    <n v="715"/>
    <x v="0"/>
  </r>
  <r>
    <s v="P105"/>
    <x v="5"/>
    <x v="7"/>
    <n v="266"/>
    <n v="12"/>
    <n v="198.88"/>
    <n v="297.36"/>
    <n v="6.45"/>
    <n v="296.49"/>
    <x v="91"/>
    <d v="2025-05-11T00:00:00"/>
    <s v="Godrej"/>
    <s v="23p31a4403@acet.ac.in"/>
    <x v="0"/>
    <n v="282.49200000000002"/>
    <x v="86"/>
    <n v="25013.920000000006"/>
    <n v="737"/>
    <x v="0"/>
  </r>
  <r>
    <s v="P106"/>
    <x v="0"/>
    <x v="27"/>
    <n v="332"/>
    <n v="150"/>
    <n v="197.35"/>
    <n v="291.61"/>
    <n v="6.07"/>
    <n v="285.66000000000003"/>
    <x v="92"/>
    <d v="2025-05-14T00:00:00"/>
    <s v="Colgate"/>
    <s v="23p31a4442@acet.ac.in"/>
    <x v="2"/>
    <n v="233.28800000000001"/>
    <x v="87"/>
    <n v="17155.320000000003"/>
    <n v="200"/>
    <x v="0"/>
  </r>
  <r>
    <s v="P107"/>
    <x v="7"/>
    <x v="29"/>
    <n v="462"/>
    <n v="40"/>
    <n v="46.76"/>
    <n v="58.53"/>
    <n v="8.4499999999999993"/>
    <n v="55.04"/>
    <x v="93"/>
    <d v="2025-06-24T00:00:00"/>
    <s v="Hindustan Unilever"/>
    <s v="23p31a4403@acet.ac.in"/>
    <x v="0"/>
    <n v="55.603499999999997"/>
    <x v="88"/>
    <n v="4966.9400000000014"/>
    <n v="356"/>
    <x v="0"/>
  </r>
  <r>
    <s v="P108"/>
    <x v="0"/>
    <x v="0"/>
    <n v="130"/>
    <n v="25"/>
    <n v="133.69999999999999"/>
    <n v="193.24"/>
    <n v="4.59"/>
    <n v="188.82"/>
    <x v="94"/>
    <d v="2025-06-17T00:00:00"/>
    <s v="Detol"/>
    <s v="23p31a4403@acet.ac.in"/>
    <x v="0"/>
    <n v="183.578"/>
    <x v="71"/>
    <n v="6251.7000000000025"/>
    <n v="220"/>
    <x v="0"/>
  </r>
  <r>
    <s v="P109"/>
    <x v="7"/>
    <x v="29"/>
    <n v="296"/>
    <n v="20"/>
    <n v="134.82"/>
    <n v="162.66999999999999"/>
    <n v="8.19"/>
    <n v="161.41999999999999"/>
    <x v="95"/>
    <d v="2025-04-12T00:00:00"/>
    <s v="Hindustan Unilever"/>
    <s v="23p31a4403@acet.ac.in"/>
    <x v="0"/>
    <n v="154.53649999999999"/>
    <x v="89"/>
    <n v="7686.5999999999985"/>
    <n v="416"/>
    <x v="0"/>
  </r>
  <r>
    <s v="P110"/>
    <x v="1"/>
    <x v="23"/>
    <n v="484"/>
    <n v="66"/>
    <n v="149.56"/>
    <n v="221.85"/>
    <n v="6.59"/>
    <n v="217.71"/>
    <x v="96"/>
    <d v="2025-06-12T00:00:00"/>
    <s v="Britannia"/>
    <s v="23p31a4403@acet.ac.in"/>
    <x v="0"/>
    <n v="210.75749999999999"/>
    <x v="90"/>
    <n v="30217.219999999998"/>
    <n v="655"/>
    <x v="0"/>
  </r>
  <r>
    <s v="P111"/>
    <x v="7"/>
    <x v="29"/>
    <n v="306"/>
    <n v="6"/>
    <n v="84.92"/>
    <n v="126.67"/>
    <n v="7.52"/>
    <n v="123.14"/>
    <x v="97"/>
    <d v="2025-07-14T00:00:00"/>
    <s v="Hindustan Unilever"/>
    <s v="23p31a4403@acet.ac.in"/>
    <x v="0"/>
    <n v="120.3365"/>
    <x v="91"/>
    <n v="12525"/>
    <n v="289"/>
    <x v="0"/>
  </r>
  <r>
    <s v="P112"/>
    <x v="5"/>
    <x v="25"/>
    <n v="125"/>
    <n v="123"/>
    <n v="49.59"/>
    <n v="67.59"/>
    <n v="2.04"/>
    <n v="66.03"/>
    <x v="98"/>
    <d v="2025-04-20T00:00:00"/>
    <s v="ITC"/>
    <s v="23p31a4442@acet.ac.in"/>
    <x v="2"/>
    <n v="54.072000000000003"/>
    <x v="92"/>
    <n v="36"/>
    <n v="443"/>
    <x v="0"/>
  </r>
  <r>
    <s v="P113"/>
    <x v="5"/>
    <x v="7"/>
    <n v="372"/>
    <n v="199"/>
    <n v="139.94999999999999"/>
    <n v="179.4"/>
    <n v="6.45"/>
    <n v="174.32"/>
    <x v="99"/>
    <d v="2025-04-06T00:00:00"/>
    <s v="Godrej"/>
    <s v="23p31a4442@acet.ac.in"/>
    <x v="2"/>
    <n v="143.52000000000001"/>
    <x v="93"/>
    <n v="6824.8500000000031"/>
    <n v="762"/>
    <x v="0"/>
  </r>
  <r>
    <s v="P114"/>
    <x v="5"/>
    <x v="25"/>
    <n v="444"/>
    <n v="426"/>
    <n v="138.61000000000001"/>
    <n v="205.78"/>
    <n v="1.43"/>
    <n v="204.83"/>
    <x v="41"/>
    <d v="2025-07-13T00:00:00"/>
    <s v="ITC"/>
    <s v="23p31a4442@acet.ac.in"/>
    <x v="1"/>
    <n v="123.46799999999999"/>
    <x v="4"/>
    <n v="1209.0599999999997"/>
    <n v="153"/>
    <x v="0"/>
  </r>
  <r>
    <s v="P115"/>
    <x v="5"/>
    <x v="25"/>
    <n v="193"/>
    <n v="178"/>
    <n v="126.84"/>
    <n v="167.88"/>
    <n v="5.18"/>
    <n v="164.41"/>
    <x v="100"/>
    <d v="2025-04-13T00:00:00"/>
    <s v="ITC"/>
    <s v="23p31a4442@acet.ac.in"/>
    <x v="2"/>
    <n v="134.304"/>
    <x v="94"/>
    <n v="615.59999999999991"/>
    <n v="122"/>
    <x v="0"/>
  </r>
  <r>
    <s v="P116"/>
    <x v="1"/>
    <x v="1"/>
    <n v="275"/>
    <n v="224"/>
    <n v="186.28"/>
    <n v="228.4"/>
    <n v="1.19"/>
    <n v="227.92"/>
    <x v="20"/>
    <d v="2025-05-02T00:00:00"/>
    <s v="Britannia"/>
    <s v="23p31a4442@acet.ac.in"/>
    <x v="1"/>
    <n v="137.04"/>
    <x v="11"/>
    <n v="2148.1200000000003"/>
    <n v="61"/>
    <x v="0"/>
  </r>
  <r>
    <s v="P117"/>
    <x v="6"/>
    <x v="21"/>
    <n v="243"/>
    <n v="153"/>
    <n v="87.2"/>
    <n v="107.23"/>
    <n v="7.17"/>
    <n v="104.69"/>
    <x v="71"/>
    <d v="2025-05-03T00:00:00"/>
    <s v="PepsiCo"/>
    <s v="23p31a4442@acet.ac.in"/>
    <x v="2"/>
    <n v="85.784000000000006"/>
    <x v="7"/>
    <n v="1802.7"/>
    <n v="31"/>
    <x v="2"/>
  </r>
  <r>
    <s v="P118"/>
    <x v="0"/>
    <x v="0"/>
    <n v="73"/>
    <n v="2"/>
    <n v="42.91"/>
    <n v="54.02"/>
    <n v="1.78"/>
    <n v="53.67"/>
    <x v="101"/>
    <d v="2025-05-24T00:00:00"/>
    <s v="Detol"/>
    <s v="23p31a4403@acet.ac.in"/>
    <x v="0"/>
    <n v="51.319000000000003"/>
    <x v="95"/>
    <n v="788.81000000000051"/>
    <n v="278"/>
    <x v="0"/>
  </r>
  <r>
    <s v="P119"/>
    <x v="5"/>
    <x v="7"/>
    <n v="123"/>
    <n v="4"/>
    <n v="124.92"/>
    <n v="167.65"/>
    <n v="2.95"/>
    <n v="166.95"/>
    <x v="102"/>
    <d v="2025-04-26T00:00:00"/>
    <s v="Godrej"/>
    <s v="23p31a4403@acet.ac.in"/>
    <x v="0"/>
    <n v="159.26749999999998"/>
    <x v="8"/>
    <n v="5084.8700000000008"/>
    <n v="758"/>
    <x v="0"/>
  </r>
  <r>
    <s v="P120"/>
    <x v="1"/>
    <x v="1"/>
    <n v="432"/>
    <n v="29"/>
    <n v="130.08000000000001"/>
    <n v="186.19"/>
    <n v="1.54"/>
    <n v="184.9"/>
    <x v="103"/>
    <d v="2025-05-15T00:00:00"/>
    <s v="Britannia"/>
    <s v="23p31a4403@acet.ac.in"/>
    <x v="0"/>
    <n v="176.88049999999998"/>
    <x v="96"/>
    <n v="22612.329999999994"/>
    <n v="536"/>
    <x v="0"/>
  </r>
  <r>
    <s v="P121"/>
    <x v="6"/>
    <x v="24"/>
    <n v="206"/>
    <n v="104"/>
    <n v="174.2"/>
    <n v="213.36"/>
    <n v="6.12"/>
    <n v="209.29"/>
    <x v="54"/>
    <d v="2025-04-27T00:00:00"/>
    <s v="PepsiCo"/>
    <s v="23p31a4442@acet.ac.in"/>
    <x v="1"/>
    <n v="128.01599999999999"/>
    <x v="97"/>
    <n v="3994.3200000000024"/>
    <n v="29"/>
    <x v="2"/>
  </r>
  <r>
    <s v="P122"/>
    <x v="3"/>
    <x v="4"/>
    <n v="400"/>
    <n v="83"/>
    <n v="18.86"/>
    <n v="26.81"/>
    <n v="4.0199999999999996"/>
    <n v="26.73"/>
    <x v="71"/>
    <d v="2025-05-04T00:00:00"/>
    <s v="Nestle"/>
    <s v="23p31a4442@acet.ac.in"/>
    <x v="2"/>
    <n v="21.448"/>
    <x v="98"/>
    <n v="2520.1499999999996"/>
    <n v="31"/>
    <x v="2"/>
  </r>
  <r>
    <s v="P123"/>
    <x v="1"/>
    <x v="1"/>
    <n v="414"/>
    <n v="282"/>
    <n v="159.72"/>
    <n v="220.2"/>
    <n v="1.62"/>
    <n v="218.88"/>
    <x v="104"/>
    <d v="2025-04-12T00:00:00"/>
    <s v="Britannia"/>
    <s v="23p31a4442@acet.ac.in"/>
    <x v="1"/>
    <n v="132.11999999999998"/>
    <x v="99"/>
    <n v="7983.3599999999988"/>
    <n v="282"/>
    <x v="0"/>
  </r>
  <r>
    <s v="P124"/>
    <x v="1"/>
    <x v="23"/>
    <n v="407"/>
    <n v="26"/>
    <n v="50.46"/>
    <n v="65.38"/>
    <n v="6.78"/>
    <n v="61.23"/>
    <x v="105"/>
    <d v="2025-06-24T00:00:00"/>
    <s v="Britannia"/>
    <s v="23p31a4403@acet.ac.in"/>
    <x v="0"/>
    <n v="62.11099999999999"/>
    <x v="100"/>
    <n v="5684.5199999999977"/>
    <n v="329"/>
    <x v="0"/>
  </r>
  <r>
    <s v="P125"/>
    <x v="3"/>
    <x v="33"/>
    <n v="484"/>
    <n v="4"/>
    <n v="122.54"/>
    <n v="159.36000000000001"/>
    <n v="8.26"/>
    <n v="156.52000000000001"/>
    <x v="106"/>
    <d v="2025-04-12T00:00:00"/>
    <s v="Nestle"/>
    <s v="23p31a4403@acet.ac.in"/>
    <x v="0"/>
    <n v="151.392"/>
    <x v="101"/>
    <n v="17673.600000000002"/>
    <n v="776"/>
    <x v="0"/>
  </r>
  <r>
    <s v="P126"/>
    <x v="7"/>
    <x v="29"/>
    <n v="321"/>
    <n v="274"/>
    <n v="56.03"/>
    <n v="72.760000000000005"/>
    <n v="3.64"/>
    <n v="71.53"/>
    <x v="71"/>
    <d v="2025-07-02T00:00:00"/>
    <s v="Hindustan Unilever"/>
    <s v="23p31a4442@acet.ac.in"/>
    <x v="1"/>
    <n v="43.655999999999999"/>
    <x v="10"/>
    <n v="786.31000000000017"/>
    <n v="31"/>
    <x v="2"/>
  </r>
  <r>
    <s v="P127"/>
    <x v="3"/>
    <x v="4"/>
    <n v="307"/>
    <n v="21"/>
    <n v="144.19"/>
    <n v="180.66"/>
    <n v="3.73"/>
    <n v="177.36"/>
    <x v="107"/>
    <d v="2025-04-01T00:00:00"/>
    <s v="Nestle"/>
    <s v="23p31a4403@acet.ac.in"/>
    <x v="0"/>
    <n v="171.62699999999998"/>
    <x v="102"/>
    <n v="10430.42"/>
    <n v="259"/>
    <x v="0"/>
  </r>
  <r>
    <s v="P128"/>
    <x v="5"/>
    <x v="34"/>
    <n v="245"/>
    <n v="52"/>
    <n v="196.66"/>
    <n v="277.70999999999998"/>
    <n v="4.6500000000000004"/>
    <n v="274.11"/>
    <x v="108"/>
    <d v="2025-07-18T00:00:00"/>
    <s v="Godrej"/>
    <s v="23p31a4403@acet.ac.in"/>
    <x v="0"/>
    <n v="263.82449999999994"/>
    <x v="103"/>
    <n v="15642.649999999996"/>
    <n v="521"/>
    <x v="0"/>
  </r>
  <r>
    <s v="P129"/>
    <x v="3"/>
    <x v="8"/>
    <n v="327"/>
    <n v="105"/>
    <n v="164.7"/>
    <n v="206.65"/>
    <n v="3.07"/>
    <n v="206.07"/>
    <x v="109"/>
    <d v="2025-06-29T00:00:00"/>
    <s v="ITC"/>
    <s v="23p31a4442@acet.ac.in"/>
    <x v="2"/>
    <n v="165.32000000000002"/>
    <x v="104"/>
    <n v="9312.9000000000033"/>
    <n v="471"/>
    <x v="0"/>
  </r>
  <r>
    <s v="P130"/>
    <x v="7"/>
    <x v="29"/>
    <n v="64"/>
    <n v="24"/>
    <n v="191.36"/>
    <n v="252.61"/>
    <n v="5.86"/>
    <n v="248.7"/>
    <x v="110"/>
    <d v="2025-07-07T00:00:00"/>
    <s v="Hindustan Unilever"/>
    <s v="23p31a4403@acet.ac.in"/>
    <x v="0"/>
    <n v="239.9795"/>
    <x v="0"/>
    <n v="2450"/>
    <n v="869"/>
    <x v="0"/>
  </r>
  <r>
    <s v="P131"/>
    <x v="5"/>
    <x v="7"/>
    <n v="165"/>
    <n v="128"/>
    <n v="21.5"/>
    <n v="30.88"/>
    <n v="9.26"/>
    <n v="25.49"/>
    <x v="111"/>
    <d v="2025-06-22T00:00:00"/>
    <s v="Godrej"/>
    <s v="23p31a4442@acet.ac.in"/>
    <x v="2"/>
    <n v="24.704000000000001"/>
    <x v="105"/>
    <n v="347.05999999999995"/>
    <n v="408"/>
    <x v="0"/>
  </r>
  <r>
    <s v="P132"/>
    <x v="0"/>
    <x v="0"/>
    <n v="242"/>
    <n v="44"/>
    <n v="125.53"/>
    <n v="181.77"/>
    <n v="1.67"/>
    <n v="181.38"/>
    <x v="112"/>
    <d v="2025-07-02T00:00:00"/>
    <s v="Detol"/>
    <s v="23p31a4403@acet.ac.in"/>
    <x v="2"/>
    <n v="145.41600000000003"/>
    <x v="106"/>
    <n v="11135.520000000002"/>
    <n v="66"/>
    <x v="0"/>
  </r>
  <r>
    <s v="P133"/>
    <x v="7"/>
    <x v="29"/>
    <n v="173"/>
    <n v="153"/>
    <n v="141.07"/>
    <n v="187.95"/>
    <n v="4.38"/>
    <n v="183.92"/>
    <x v="113"/>
    <d v="2025-04-23T00:00:00"/>
    <s v="Hindustan Unilever"/>
    <s v="23p31a4442@acet.ac.in"/>
    <x v="2"/>
    <n v="150.35999999999999"/>
    <x v="42"/>
    <n v="937.59999999999991"/>
    <n v="815"/>
    <x v="0"/>
  </r>
  <r>
    <s v="P134"/>
    <x v="5"/>
    <x v="7"/>
    <n v="376"/>
    <n v="144"/>
    <n v="59.15"/>
    <n v="73.88"/>
    <n v="9.4499999999999993"/>
    <n v="65.23"/>
    <x v="114"/>
    <d v="2025-07-06T00:00:00"/>
    <s v="Godrej"/>
    <s v="23p31a4442@acet.ac.in"/>
    <x v="2"/>
    <n v="59.103999999999999"/>
    <x v="107"/>
    <n v="3417.3599999999992"/>
    <n v="297"/>
    <x v="0"/>
  </r>
  <r>
    <s v="P135"/>
    <x v="3"/>
    <x v="4"/>
    <n v="236"/>
    <n v="126"/>
    <n v="21.25"/>
    <n v="31.7"/>
    <n v="3.88"/>
    <n v="29.64"/>
    <x v="115"/>
    <d v="2025-07-22T00:00:00"/>
    <s v="Nestle"/>
    <s v="23p31a4442@acet.ac.in"/>
    <x v="2"/>
    <n v="25.36"/>
    <x v="108"/>
    <n v="1149.5"/>
    <n v="299"/>
    <x v="0"/>
  </r>
  <r>
    <s v="P136"/>
    <x v="1"/>
    <x v="23"/>
    <n v="128"/>
    <n v="45"/>
    <n v="163.54"/>
    <n v="244.28"/>
    <n v="3.69"/>
    <n v="242.63"/>
    <x v="59"/>
    <d v="2025-05-21T00:00:00"/>
    <s v="Britannia"/>
    <s v="23p31a4403@acet.ac.in"/>
    <x v="0"/>
    <n v="232.066"/>
    <x v="36"/>
    <n v="6701.420000000001"/>
    <n v="557"/>
    <x v="0"/>
  </r>
  <r>
    <s v="P137"/>
    <x v="0"/>
    <x v="0"/>
    <n v="67"/>
    <n v="19"/>
    <n v="182.14"/>
    <n v="253.67"/>
    <n v="9.6300000000000008"/>
    <n v="249.94"/>
    <x v="116"/>
    <d v="2025-06-30T00:00:00"/>
    <s v="Detol"/>
    <s v="23p31a4403@acet.ac.in"/>
    <x v="0"/>
    <n v="240.98649999999998"/>
    <x v="47"/>
    <n v="3433.44"/>
    <n v="184"/>
    <x v="0"/>
  </r>
  <r>
    <s v="P138"/>
    <x v="1"/>
    <x v="1"/>
    <n v="375"/>
    <n v="264"/>
    <n v="81.760000000000005"/>
    <n v="109.95"/>
    <n v="4.22"/>
    <n v="107.79"/>
    <x v="117"/>
    <d v="2025-05-29T00:00:00"/>
    <s v="Britannia"/>
    <s v="23p31a4442@acet.ac.in"/>
    <x v="1"/>
    <n v="65.97"/>
    <x v="109"/>
    <n v="3129.0899999999997"/>
    <n v="479"/>
    <x v="0"/>
  </r>
  <r>
    <s v="P139"/>
    <x v="1"/>
    <x v="1"/>
    <n v="180"/>
    <n v="4"/>
    <n v="165.26"/>
    <n v="206.65"/>
    <n v="6.31"/>
    <n v="203.9"/>
    <x v="118"/>
    <d v="2025-06-27T00:00:00"/>
    <s v="Britannia"/>
    <s v="23p31a4403@acet.ac.in"/>
    <x v="0"/>
    <n v="196.3175"/>
    <x v="110"/>
    <n v="7284.6400000000031"/>
    <n v="686"/>
    <x v="0"/>
  </r>
  <r>
    <s v="P140"/>
    <x v="0"/>
    <x v="27"/>
    <n v="289"/>
    <n v="78"/>
    <n v="171.49"/>
    <n v="239.44"/>
    <n v="5.77"/>
    <n v="237.64"/>
    <x v="20"/>
    <d v="2025-04-08T00:00:00"/>
    <s v="Colgate"/>
    <s v="23p31a4403@acet.ac.in"/>
    <x v="2"/>
    <n v="191.55200000000002"/>
    <x v="111"/>
    <n v="14337.449999999997"/>
    <n v="61"/>
    <x v="0"/>
  </r>
  <r>
    <s v="P141"/>
    <x v="3"/>
    <x v="28"/>
    <n v="177"/>
    <n v="105"/>
    <n v="59.56"/>
    <n v="78.099999999999994"/>
    <n v="4.2"/>
    <n v="77.47"/>
    <x v="119"/>
    <d v="2025-04-12T00:00:00"/>
    <s v="ITC"/>
    <s v="23p31a4442@acet.ac.in"/>
    <x v="2"/>
    <n v="62.48"/>
    <x v="70"/>
    <n v="1334.8799999999994"/>
    <n v="56"/>
    <x v="0"/>
  </r>
  <r>
    <s v="P142"/>
    <x v="3"/>
    <x v="4"/>
    <n v="249"/>
    <n v="213"/>
    <n v="159.6"/>
    <n v="214.41"/>
    <n v="6.02"/>
    <n v="211.64"/>
    <x v="81"/>
    <d v="2025-05-31T00:00:00"/>
    <s v="Nestle"/>
    <s v="23p31a4442@acet.ac.in"/>
    <x v="1"/>
    <n v="128.64599999999999"/>
    <x v="112"/>
    <n v="1973.16"/>
    <n v="263"/>
    <x v="0"/>
  </r>
  <r>
    <s v="P143"/>
    <x v="1"/>
    <x v="6"/>
    <n v="123"/>
    <n v="10"/>
    <n v="11.82"/>
    <n v="15.88"/>
    <n v="9.24"/>
    <n v="14.74"/>
    <x v="120"/>
    <d v="2025-04-04T00:00:00"/>
    <s v="ITC"/>
    <s v="23p31a4403@acet.ac.in"/>
    <x v="0"/>
    <n v="15.086"/>
    <x v="50"/>
    <n v="458.78000000000003"/>
    <n v="490"/>
    <x v="0"/>
  </r>
  <r>
    <s v="P144"/>
    <x v="5"/>
    <x v="25"/>
    <n v="286"/>
    <n v="110"/>
    <n v="194.07"/>
    <n v="234.25"/>
    <n v="9.7100000000000009"/>
    <n v="228.1"/>
    <x v="121"/>
    <d v="2025-07-22T00:00:00"/>
    <s v="ITC"/>
    <s v="23p31a4442@acet.ac.in"/>
    <x v="2"/>
    <n v="187.4"/>
    <x v="110"/>
    <n v="7071.6800000000012"/>
    <n v="253"/>
    <x v="0"/>
  </r>
  <r>
    <s v="P145"/>
    <x v="1"/>
    <x v="1"/>
    <n v="278"/>
    <n v="192"/>
    <n v="136.46"/>
    <n v="182.71"/>
    <n v="3.23"/>
    <n v="182.67"/>
    <x v="122"/>
    <d v="2025-05-25T00:00:00"/>
    <s v="Britannia"/>
    <s v="23p31a4442@acet.ac.in"/>
    <x v="2"/>
    <n v="146.16800000000001"/>
    <x v="113"/>
    <n v="3977.5"/>
    <n v="570"/>
    <x v="0"/>
  </r>
  <r>
    <s v="P146"/>
    <x v="0"/>
    <x v="27"/>
    <n v="258"/>
    <n v="15"/>
    <n v="47.85"/>
    <n v="60.6"/>
    <n v="7.06"/>
    <n v="56.04"/>
    <x v="123"/>
    <d v="2025-04-30T00:00:00"/>
    <s v="Colgate"/>
    <s v="23p31a4403@acet.ac.in"/>
    <x v="0"/>
    <n v="57.57"/>
    <x v="114"/>
    <n v="3098.25"/>
    <n v="104"/>
    <x v="0"/>
  </r>
  <r>
    <s v="P147"/>
    <x v="4"/>
    <x v="35"/>
    <n v="466"/>
    <n v="4"/>
    <n v="115.66"/>
    <n v="159.87"/>
    <n v="1.32"/>
    <n v="159.74"/>
    <x v="124"/>
    <d v="2025-06-11T00:00:00"/>
    <s v="Amul"/>
    <s v="23p31a4403@acet.ac.in"/>
    <x v="0"/>
    <n v="151.87649999999999"/>
    <x v="115"/>
    <n v="20425.020000000004"/>
    <n v="100"/>
    <x v="0"/>
  </r>
  <r>
    <s v="P148"/>
    <x v="0"/>
    <x v="27"/>
    <n v="337"/>
    <n v="97"/>
    <n v="183.82"/>
    <n v="239.99"/>
    <n v="7.63"/>
    <n v="239.75"/>
    <x v="125"/>
    <d v="2025-05-24T00:00:00"/>
    <s v="Colgate"/>
    <s v="23p31a4442@acet.ac.in"/>
    <x v="0"/>
    <n v="227.9905"/>
    <x v="116"/>
    <n v="13480.800000000003"/>
    <n v="475"/>
    <x v="0"/>
  </r>
  <r>
    <s v="P149"/>
    <x v="3"/>
    <x v="4"/>
    <n v="81"/>
    <n v="11"/>
    <n v="17.809999999999999"/>
    <n v="26.65"/>
    <n v="4.21"/>
    <n v="25.17"/>
    <x v="126"/>
    <d v="2025-04-23T00:00:00"/>
    <s v="Nestle"/>
    <s v="23p31a4403@acet.ac.in"/>
    <x v="0"/>
    <n v="25.317499999999999"/>
    <x v="81"/>
    <n v="618.79999999999995"/>
    <n v="432"/>
    <x v="0"/>
  </r>
  <r>
    <s v="P150"/>
    <x v="0"/>
    <x v="3"/>
    <n v="335"/>
    <n v="45"/>
    <n v="96.04"/>
    <n v="133.47999999999999"/>
    <n v="4.5"/>
    <n v="129.93"/>
    <x v="127"/>
    <d v="2025-06-05T00:00:00"/>
    <s v="Hindustan Unilever"/>
    <s v="23p31a4403@acet.ac.in"/>
    <x v="2"/>
    <n v="106.78399999999999"/>
    <x v="117"/>
    <n v="10857.599999999995"/>
    <n v="89"/>
    <x v="0"/>
  </r>
  <r>
    <s v="P151"/>
    <x v="5"/>
    <x v="25"/>
    <n v="406"/>
    <n v="162"/>
    <n v="160.80000000000001"/>
    <n v="235.03"/>
    <n v="3.09"/>
    <n v="232.63"/>
    <x v="128"/>
    <d v="2025-07-04T00:00:00"/>
    <s v="ITC"/>
    <s v="23p31a4442@acet.ac.in"/>
    <x v="2"/>
    <n v="188.024"/>
    <x v="118"/>
    <n v="18112.12"/>
    <n v="560"/>
    <x v="0"/>
  </r>
  <r>
    <s v="P152"/>
    <x v="4"/>
    <x v="30"/>
    <n v="274"/>
    <n v="220"/>
    <n v="56.94"/>
    <n v="83.27"/>
    <n v="5.43"/>
    <n v="82.32"/>
    <x v="71"/>
    <d v="2025-06-03T00:00:00"/>
    <s v="Nestle"/>
    <s v="23p31a4442@acet.ac.in"/>
    <x v="1"/>
    <n v="49.961999999999996"/>
    <x v="119"/>
    <n v="1421.82"/>
    <n v="31"/>
    <x v="2"/>
  </r>
  <r>
    <s v="P153"/>
    <x v="4"/>
    <x v="36"/>
    <n v="375"/>
    <n v="297"/>
    <n v="16.5"/>
    <n v="24.13"/>
    <n v="4.99"/>
    <n v="20.71"/>
    <x v="20"/>
    <d v="2025-04-17T00:00:00"/>
    <s v="Amul"/>
    <s v="23p31a4442@acet.ac.in"/>
    <x v="1"/>
    <n v="14.477999999999998"/>
    <x v="120"/>
    <n v="595.13999999999987"/>
    <n v="61"/>
    <x v="0"/>
  </r>
  <r>
    <s v="P154"/>
    <x v="1"/>
    <x v="1"/>
    <n v="267"/>
    <n v="63"/>
    <n v="167.7"/>
    <n v="230.61"/>
    <n v="7.09"/>
    <n v="225.98"/>
    <x v="129"/>
    <d v="2025-05-12T00:00:00"/>
    <s v="Britannia"/>
    <s v="23p31a4403@acet.ac.in"/>
    <x v="0"/>
    <n v="219.0795"/>
    <x v="121"/>
    <n v="12833.640000000005"/>
    <n v="349"/>
    <x v="0"/>
  </r>
  <r>
    <s v="P155"/>
    <x v="7"/>
    <x v="29"/>
    <n v="350"/>
    <n v="305"/>
    <n v="55.84"/>
    <n v="76.13"/>
    <n v="7.19"/>
    <n v="71.790000000000006"/>
    <x v="59"/>
    <d v="2025-05-26T00:00:00"/>
    <s v="Hindustan Unilever"/>
    <s v="23p31a4442@acet.ac.in"/>
    <x v="1"/>
    <n v="45.677999999999997"/>
    <x v="122"/>
    <n v="913.04999999999961"/>
    <n v="557"/>
    <x v="0"/>
  </r>
  <r>
    <s v="P156"/>
    <x v="4"/>
    <x v="30"/>
    <n v="110"/>
    <n v="70"/>
    <n v="70.81"/>
    <n v="88.74"/>
    <n v="6.91"/>
    <n v="87.47"/>
    <x v="71"/>
    <d v="2025-07-20T00:00:00"/>
    <s v="Nestle"/>
    <s v="23p31a4403@acet.ac.in"/>
    <x v="2"/>
    <n v="70.992000000000004"/>
    <x v="0"/>
    <n v="717.1999999999997"/>
    <n v="31"/>
    <x v="2"/>
  </r>
  <r>
    <s v="P157"/>
    <x v="4"/>
    <x v="37"/>
    <n v="452"/>
    <n v="96"/>
    <n v="104.7"/>
    <n v="132.96"/>
    <n v="1.75"/>
    <n v="131.93"/>
    <x v="130"/>
    <d v="2025-05-16T00:00:00"/>
    <s v="Amul"/>
    <s v="23p31a4442@acet.ac.in"/>
    <x v="0"/>
    <n v="126.312"/>
    <x v="123"/>
    <n v="10060.560000000001"/>
    <n v="704"/>
    <x v="0"/>
  </r>
  <r>
    <s v="P158"/>
    <x v="7"/>
    <x v="29"/>
    <n v="411"/>
    <n v="134"/>
    <n v="55.16"/>
    <n v="75.44"/>
    <n v="3.34"/>
    <n v="72.28"/>
    <x v="131"/>
    <d v="2025-04-02T00:00:00"/>
    <s v="Hindustan Unilever"/>
    <s v="23p31a4442@acet.ac.in"/>
    <x v="2"/>
    <n v="60.352000000000004"/>
    <x v="124"/>
    <n v="5617.56"/>
    <n v="739"/>
    <x v="0"/>
  </r>
  <r>
    <s v="P159"/>
    <x v="3"/>
    <x v="33"/>
    <n v="135"/>
    <n v="29"/>
    <n v="28.54"/>
    <n v="41.98"/>
    <n v="4.82"/>
    <n v="39.94"/>
    <x v="132"/>
    <d v="2025-07-20T00:00:00"/>
    <s v="Nestle"/>
    <s v="23p31a4403@acet.ac.in"/>
    <x v="0"/>
    <n v="39.880999999999993"/>
    <x v="125"/>
    <n v="1424.6399999999999"/>
    <n v="133"/>
    <x v="0"/>
  </r>
  <r>
    <s v="P160"/>
    <x v="0"/>
    <x v="0"/>
    <n v="164"/>
    <n v="84"/>
    <n v="58.79"/>
    <n v="79.89"/>
    <n v="6.19"/>
    <n v="74.56"/>
    <x v="69"/>
    <d v="2025-07-15T00:00:00"/>
    <s v="Detol"/>
    <s v="23p31a4442@acet.ac.in"/>
    <x v="0"/>
    <n v="75.895499999999998"/>
    <x v="75"/>
    <n v="1688"/>
    <n v="533"/>
    <x v="0"/>
  </r>
  <r>
    <s v="P161"/>
    <x v="3"/>
    <x v="8"/>
    <n v="387"/>
    <n v="338"/>
    <n v="99.28"/>
    <n v="135.83000000000001"/>
    <n v="6.55"/>
    <n v="132.68"/>
    <x v="133"/>
    <d v="2025-05-04T00:00:00"/>
    <s v="ITC"/>
    <s v="23p31a4442@acet.ac.in"/>
    <x v="1"/>
    <n v="81.498000000000005"/>
    <x v="126"/>
    <n v="1790.9500000000005"/>
    <n v="62"/>
    <x v="0"/>
  </r>
  <r>
    <s v="P162"/>
    <x v="0"/>
    <x v="3"/>
    <n v="236"/>
    <n v="28"/>
    <n v="160.91"/>
    <n v="209.16"/>
    <n v="6.81"/>
    <n v="203.66"/>
    <x v="134"/>
    <d v="2025-07-22T00:00:00"/>
    <s v="Hindustan Unilever"/>
    <s v="23p31a4403@acet.ac.in"/>
    <x v="0"/>
    <n v="198.702"/>
    <x v="127"/>
    <n v="10036"/>
    <n v="106"/>
    <x v="0"/>
  </r>
  <r>
    <s v="P163"/>
    <x v="0"/>
    <x v="0"/>
    <n v="337"/>
    <n v="210"/>
    <n v="177.78"/>
    <n v="258.18"/>
    <n v="4.18"/>
    <n v="255.43"/>
    <x v="135"/>
    <d v="2025-04-10T00:00:00"/>
    <s v="Detol"/>
    <s v="23p31a4442@acet.ac.in"/>
    <x v="1"/>
    <n v="154.90799999999999"/>
    <x v="27"/>
    <n v="10210.800000000001"/>
    <n v="572"/>
    <x v="0"/>
  </r>
  <r>
    <s v="P164"/>
    <x v="3"/>
    <x v="4"/>
    <n v="229"/>
    <n v="18"/>
    <n v="70.260000000000005"/>
    <n v="86.17"/>
    <n v="9.66"/>
    <n v="84.19"/>
    <x v="136"/>
    <d v="2025-05-01T00:00:00"/>
    <s v="Nestle"/>
    <s v="23p31a4403@acet.ac.in"/>
    <x v="0"/>
    <n v="81.861499999999992"/>
    <x v="111"/>
    <n v="3357.0099999999993"/>
    <n v="463"/>
    <x v="0"/>
  </r>
  <r>
    <s v="P165"/>
    <x v="1"/>
    <x v="23"/>
    <n v="235"/>
    <n v="45"/>
    <n v="111.11"/>
    <n v="142.16999999999999"/>
    <n v="9.89"/>
    <n v="134.22"/>
    <x v="71"/>
    <d v="2025-06-30T00:00:00"/>
    <s v="Britannia"/>
    <s v="23p31a4403@acet.ac.in"/>
    <x v="2"/>
    <n v="113.73599999999999"/>
    <x v="128"/>
    <n v="5901.3999999999978"/>
    <n v="31"/>
    <x v="2"/>
  </r>
  <r>
    <s v="P166"/>
    <x v="2"/>
    <x v="2"/>
    <n v="53"/>
    <n v="46"/>
    <n v="157.96"/>
    <n v="235.1"/>
    <n v="3.01"/>
    <n v="234.04"/>
    <x v="137"/>
    <d v="2025-05-01T00:00:00"/>
    <s v="ITC"/>
    <s v="23p31a4403@acet.ac.in"/>
    <x v="0"/>
    <n v="223.34499999999997"/>
    <x v="129"/>
    <n v="539.9799999999999"/>
    <n v="182"/>
    <x v="0"/>
  </r>
  <r>
    <s v="P167"/>
    <x v="7"/>
    <x v="29"/>
    <n v="56"/>
    <n v="28"/>
    <n v="84.29"/>
    <n v="116.96"/>
    <n v="8.67"/>
    <n v="115.64"/>
    <x v="138"/>
    <d v="2025-07-17T00:00:00"/>
    <s v="Hindustan Unilever"/>
    <s v="23p31a4403@acet.ac.in"/>
    <x v="0"/>
    <n v="111.11199999999999"/>
    <x v="69"/>
    <n v="914.75999999999965"/>
    <n v="109"/>
    <x v="0"/>
  </r>
  <r>
    <s v="P168"/>
    <x v="3"/>
    <x v="4"/>
    <n v="80"/>
    <n v="29"/>
    <n v="147.5"/>
    <n v="198.73"/>
    <n v="1.47"/>
    <n v="198.32"/>
    <x v="89"/>
    <d v="2025-04-15T00:00:00"/>
    <s v="Nestle"/>
    <s v="23p31a4403@acet.ac.in"/>
    <x v="0"/>
    <n v="188.79349999999999"/>
    <x v="11"/>
    <n v="2612.7299999999996"/>
    <n v="492"/>
    <x v="0"/>
  </r>
  <r>
    <s v="P169"/>
    <x v="3"/>
    <x v="8"/>
    <n v="223"/>
    <n v="133"/>
    <n v="44.72"/>
    <n v="61.26"/>
    <n v="7.75"/>
    <n v="55.22"/>
    <x v="48"/>
    <d v="2025-05-05T00:00:00"/>
    <s v="ITC"/>
    <s v="23p31a4442@acet.ac.in"/>
    <x v="2"/>
    <n v="49.008000000000003"/>
    <x v="7"/>
    <n v="1488.6"/>
    <n v="538"/>
    <x v="0"/>
  </r>
  <r>
    <s v="P170"/>
    <x v="5"/>
    <x v="25"/>
    <n v="112"/>
    <n v="57"/>
    <n v="73.680000000000007"/>
    <n v="108.93"/>
    <n v="4.3899999999999997"/>
    <n v="108.18"/>
    <x v="139"/>
    <d v="2025-05-31T00:00:00"/>
    <s v="ITC"/>
    <s v="23p31a4403@acet.ac.in"/>
    <x v="0"/>
    <n v="103.48350000000001"/>
    <x v="130"/>
    <n v="1938.75"/>
    <n v="374"/>
    <x v="0"/>
  </r>
  <r>
    <s v="P171"/>
    <x v="5"/>
    <x v="7"/>
    <n v="353"/>
    <n v="76"/>
    <n v="72.59"/>
    <n v="96.02"/>
    <n v="8.69"/>
    <n v="95.53"/>
    <x v="140"/>
    <d v="2025-04-26T00:00:00"/>
    <s v="Godrej"/>
    <s v="23p31a4403@acet.ac.in"/>
    <x v="0"/>
    <n v="91.218999999999994"/>
    <x v="124"/>
    <n v="6490.1099999999979"/>
    <n v="724"/>
    <x v="0"/>
  </r>
  <r>
    <s v="P172"/>
    <x v="0"/>
    <x v="0"/>
    <n v="150"/>
    <n v="110"/>
    <n v="32.82"/>
    <n v="40.950000000000003"/>
    <n v="7.61"/>
    <n v="35.01"/>
    <x v="141"/>
    <d v="2025-06-23T00:00:00"/>
    <s v="Detol"/>
    <s v="23p31a4442@acet.ac.in"/>
    <x v="2"/>
    <n v="32.760000000000005"/>
    <x v="0"/>
    <n v="325.2000000000001"/>
    <n v="539"/>
    <x v="0"/>
  </r>
  <r>
    <s v="P173"/>
    <x v="6"/>
    <x v="21"/>
    <n v="242"/>
    <n v="229"/>
    <n v="124.54"/>
    <n v="151.80000000000001"/>
    <n v="6.16"/>
    <n v="148.55000000000001"/>
    <x v="71"/>
    <d v="2025-08-31T00:00:00"/>
    <s v="PepsiCo"/>
    <s v="23p31a4442@acet.ac.in"/>
    <x v="1"/>
    <n v="91.08"/>
    <x v="131"/>
    <n v="354.38000000000005"/>
    <n v="31"/>
    <x v="2"/>
  </r>
  <r>
    <s v="P174"/>
    <x v="4"/>
    <x v="30"/>
    <n v="488"/>
    <n v="24"/>
    <n v="97.23"/>
    <n v="124.16"/>
    <n v="5"/>
    <n v="120.29"/>
    <x v="36"/>
    <d v="2025-07-18T00:00:00"/>
    <s v="Nestle"/>
    <s v="23p31a4403@acet.ac.in"/>
    <x v="2"/>
    <n v="99.328000000000003"/>
    <x v="132"/>
    <n v="12495.519999999997"/>
    <n v="32"/>
    <x v="2"/>
  </r>
  <r>
    <s v="P175"/>
    <x v="2"/>
    <x v="2"/>
    <n v="294"/>
    <n v="183"/>
    <n v="195.7"/>
    <n v="281.02"/>
    <n v="8.0399999999999991"/>
    <n v="274.41000000000003"/>
    <x v="142"/>
    <d v="2025-06-11T00:00:00"/>
    <s v="ITC"/>
    <s v="23p31a4442@acet.ac.in"/>
    <x v="2"/>
    <n v="224.816"/>
    <x v="109"/>
    <n v="9470.5199999999986"/>
    <n v="355"/>
    <x v="0"/>
  </r>
  <r>
    <s v="P176"/>
    <x v="6"/>
    <x v="21"/>
    <n v="118"/>
    <n v="92"/>
    <n v="124.47"/>
    <n v="152.56"/>
    <n v="6.05"/>
    <n v="149.91"/>
    <x v="71"/>
    <d v="2025-06-15T00:00:00"/>
    <s v="PepsiCo"/>
    <s v="23p31a4442@acet.ac.in"/>
    <x v="2"/>
    <n v="122.048"/>
    <x v="133"/>
    <n v="730.34000000000015"/>
    <n v="31"/>
    <x v="2"/>
  </r>
  <r>
    <s v="P177"/>
    <x v="2"/>
    <x v="38"/>
    <n v="415"/>
    <n v="275"/>
    <n v="118.82"/>
    <n v="158.58000000000001"/>
    <n v="2.7"/>
    <n v="156.69"/>
    <x v="23"/>
    <d v="2025-07-05T00:00:00"/>
    <s v="ITC"/>
    <s v="23p31a4442@acet.ac.in"/>
    <x v="1"/>
    <n v="95.14800000000001"/>
    <x v="134"/>
    <n v="5566.4000000000024"/>
    <n v="671"/>
    <x v="0"/>
  </r>
  <r>
    <s v="P178"/>
    <x v="6"/>
    <x v="9"/>
    <n v="344"/>
    <n v="115"/>
    <n v="83.69"/>
    <n v="115.76"/>
    <n v="6.8"/>
    <n v="115.19"/>
    <x v="143"/>
    <d v="2025-07-07T00:00:00"/>
    <s v="Coca Cola India"/>
    <s v="23p31a4442@acet.ac.in"/>
    <x v="2"/>
    <n v="92.608000000000004"/>
    <x v="135"/>
    <n v="7344.0300000000016"/>
    <n v="145"/>
    <x v="0"/>
  </r>
  <r>
    <s v="P179"/>
    <x v="0"/>
    <x v="0"/>
    <n v="369"/>
    <n v="169"/>
    <n v="131.61000000000001"/>
    <n v="193.4"/>
    <n v="1.87"/>
    <n v="193.24"/>
    <x v="144"/>
    <d v="2025-05-18T00:00:00"/>
    <s v="Detol"/>
    <s v="23p31a4442@acet.ac.in"/>
    <x v="2"/>
    <n v="154.72000000000003"/>
    <x v="136"/>
    <n v="12357.999999999998"/>
    <n v="494"/>
    <x v="0"/>
  </r>
  <r>
    <s v="P180"/>
    <x v="7"/>
    <x v="29"/>
    <n v="354"/>
    <n v="132"/>
    <n v="139.13"/>
    <n v="197.06"/>
    <n v="1.67"/>
    <n v="196.61"/>
    <x v="145"/>
    <d v="2025-04-29T00:00:00"/>
    <s v="Hindustan Unilever"/>
    <s v="23p31a4442@acet.ac.in"/>
    <x v="2"/>
    <n v="157.64800000000002"/>
    <x v="104"/>
    <n v="12860.460000000001"/>
    <n v="546"/>
    <x v="0"/>
  </r>
  <r>
    <s v="P181"/>
    <x v="7"/>
    <x v="29"/>
    <n v="202"/>
    <n v="130"/>
    <n v="100.06"/>
    <n v="126.04"/>
    <n v="5.91"/>
    <n v="120.81"/>
    <x v="146"/>
    <d v="2025-05-24T00:00:00"/>
    <s v="Hindustan Unilever"/>
    <s v="23p31a4442@acet.ac.in"/>
    <x v="2"/>
    <n v="100.83200000000001"/>
    <x v="70"/>
    <n v="1870.5600000000004"/>
    <n v="486"/>
    <x v="0"/>
  </r>
  <r>
    <s v="P182"/>
    <x v="4"/>
    <x v="30"/>
    <n v="367"/>
    <n v="40"/>
    <n v="147.97"/>
    <n v="200.58"/>
    <n v="4.79"/>
    <n v="196.19"/>
    <x v="147"/>
    <d v="2025-06-29T00:00:00"/>
    <s v="Nestle"/>
    <s v="23p31a4403@acet.ac.in"/>
    <x v="2"/>
    <n v="160.46400000000003"/>
    <x v="137"/>
    <n v="17203.470000000005"/>
    <n v="63"/>
    <x v="0"/>
  </r>
  <r>
    <s v="P184"/>
    <x v="3"/>
    <x v="4"/>
    <n v="412"/>
    <n v="73"/>
    <n v="127.17"/>
    <n v="187.96"/>
    <n v="2.4300000000000002"/>
    <n v="187.2"/>
    <x v="148"/>
    <d v="2025-04-02T00:00:00"/>
    <s v="Nestle"/>
    <s v="23p31a4403@acet.ac.in"/>
    <x v="0"/>
    <n v="178.56200000000001"/>
    <x v="138"/>
    <n v="20607.810000000001"/>
    <n v="453"/>
    <x v="0"/>
  </r>
  <r>
    <s v="P185"/>
    <x v="0"/>
    <x v="27"/>
    <n v="399"/>
    <n v="302"/>
    <n v="134.11000000000001"/>
    <n v="180.59"/>
    <n v="3.49"/>
    <n v="178.14"/>
    <x v="149"/>
    <d v="2025-06-23T00:00:00"/>
    <s v="Colgate"/>
    <s v="23p31a4442@acet.ac.in"/>
    <x v="1"/>
    <n v="108.354"/>
    <x v="139"/>
    <n v="4508.5599999999986"/>
    <n v="75"/>
    <x v="0"/>
  </r>
  <r>
    <s v="P186"/>
    <x v="3"/>
    <x v="33"/>
    <n v="453"/>
    <n v="195"/>
    <n v="61.22"/>
    <n v="88.97"/>
    <n v="9.36"/>
    <n v="80.48"/>
    <x v="150"/>
    <d v="2025-04-24T00:00:00"/>
    <s v="Nestle"/>
    <s v="23p31a4442@acet.ac.in"/>
    <x v="2"/>
    <n v="71.176000000000002"/>
    <x v="140"/>
    <n v="7159.5"/>
    <n v="786"/>
    <x v="0"/>
  </r>
  <r>
    <s v="P187"/>
    <x v="4"/>
    <x v="39"/>
    <n v="351"/>
    <n v="216"/>
    <n v="174.8"/>
    <n v="226.73"/>
    <n v="6.67"/>
    <n v="222.06"/>
    <x v="71"/>
    <d v="2025-06-14T00:00:00"/>
    <s v="Amul"/>
    <s v="23p31a4442@acet.ac.in"/>
    <x v="1"/>
    <n v="136.03799999999998"/>
    <x v="141"/>
    <n v="7010.5499999999975"/>
    <n v="31"/>
    <x v="2"/>
  </r>
  <r>
    <s v="P188"/>
    <x v="0"/>
    <x v="27"/>
    <n v="249"/>
    <n v="48"/>
    <n v="99.15"/>
    <n v="126.79"/>
    <n v="3.18"/>
    <n v="123.92"/>
    <x v="82"/>
    <d v="2025-04-08T00:00:00"/>
    <s v="Colgate"/>
    <s v="23p31a4403@acet.ac.in"/>
    <x v="0"/>
    <n v="120.45050000000001"/>
    <x v="142"/>
    <n v="5555.64"/>
    <n v="309"/>
    <x v="0"/>
  </r>
  <r>
    <s v="P189"/>
    <x v="7"/>
    <x v="29"/>
    <n v="150"/>
    <n v="148"/>
    <n v="165.36"/>
    <n v="222.31"/>
    <n v="7.91"/>
    <n v="219.93"/>
    <x v="151"/>
    <d v="2025-05-17T00:00:00"/>
    <s v="Hindustan Unilever"/>
    <s v="23p31a4442@acet.ac.in"/>
    <x v="2"/>
    <n v="177.84800000000001"/>
    <x v="92"/>
    <n v="113.89999999999998"/>
    <n v="665"/>
    <x v="0"/>
  </r>
  <r>
    <s v="P190"/>
    <x v="0"/>
    <x v="27"/>
    <n v="301"/>
    <n v="61"/>
    <n v="27.71"/>
    <n v="41.4"/>
    <n v="3.39"/>
    <n v="39.200000000000003"/>
    <x v="152"/>
    <d v="2025-05-09T00:00:00"/>
    <s v="Colgate"/>
    <s v="23p31a4403@acet.ac.in"/>
    <x v="0"/>
    <n v="39.33"/>
    <x v="116"/>
    <n v="3285.5999999999995"/>
    <n v="114"/>
    <x v="0"/>
  </r>
  <r>
    <s v="P191"/>
    <x v="1"/>
    <x v="1"/>
    <n v="400"/>
    <n v="219"/>
    <n v="64.430000000000007"/>
    <n v="95.04"/>
    <n v="8.69"/>
    <n v="89.6"/>
    <x v="153"/>
    <d v="2025-06-24T00:00:00"/>
    <s v="Britannia"/>
    <s v="23p31a4442@acet.ac.in"/>
    <x v="1"/>
    <n v="57.024000000000001"/>
    <x v="143"/>
    <n v="5540.41"/>
    <n v="7"/>
    <x v="2"/>
  </r>
  <r>
    <s v="P192"/>
    <x v="4"/>
    <x v="30"/>
    <n v="331"/>
    <n v="180"/>
    <n v="146.22999999999999"/>
    <n v="189"/>
    <n v="8.24"/>
    <n v="186.18"/>
    <x v="71"/>
    <d v="2025-04-21T00:00:00"/>
    <s v="Nestle"/>
    <s v="23p31a4442@acet.ac.in"/>
    <x v="2"/>
    <n v="151.20000000000002"/>
    <x v="144"/>
    <n v="6458.2700000000013"/>
    <n v="31"/>
    <x v="2"/>
  </r>
  <r>
    <s v="P193"/>
    <x v="5"/>
    <x v="34"/>
    <n v="231"/>
    <n v="208"/>
    <n v="179.56"/>
    <n v="233.04"/>
    <n v="8.6199999999999992"/>
    <n v="224.65"/>
    <x v="154"/>
    <d v="2025-07-11T00:00:00"/>
    <s v="Godrej"/>
    <s v="23p31a4442@acet.ac.in"/>
    <x v="1"/>
    <n v="139.82399999999998"/>
    <x v="68"/>
    <n v="1230.0399999999997"/>
    <n v="409"/>
    <x v="0"/>
  </r>
  <r>
    <s v="P194"/>
    <x v="5"/>
    <x v="7"/>
    <n v="226"/>
    <n v="170"/>
    <n v="42.55"/>
    <n v="52.9"/>
    <n v="6.8"/>
    <n v="49.85"/>
    <x v="155"/>
    <d v="2025-04-05T00:00:00"/>
    <s v="Godrej"/>
    <s v="23p31a4442@acet.ac.in"/>
    <x v="2"/>
    <n v="42.32"/>
    <x v="44"/>
    <n v="579.60000000000014"/>
    <n v="812"/>
    <x v="0"/>
  </r>
  <r>
    <s v="P195"/>
    <x v="3"/>
    <x v="4"/>
    <n v="344"/>
    <n v="180"/>
    <n v="34.07"/>
    <n v="42.04"/>
    <n v="3.26"/>
    <n v="41.06"/>
    <x v="156"/>
    <d v="2025-07-07T00:00:00"/>
    <s v="Nestle"/>
    <s v="23p31a4442@acet.ac.in"/>
    <x v="2"/>
    <n v="33.631999999999998"/>
    <x v="145"/>
    <n v="1307.08"/>
    <n v="160"/>
    <x v="0"/>
  </r>
  <r>
    <s v="P196"/>
    <x v="7"/>
    <x v="29"/>
    <n v="52"/>
    <n v="13"/>
    <n v="170.32"/>
    <n v="241.28"/>
    <n v="7.19"/>
    <n v="238.42"/>
    <x v="40"/>
    <d v="2025-07-14T00:00:00"/>
    <s v="Hindustan Unilever"/>
    <s v="23p31a4403@acet.ac.in"/>
    <x v="0"/>
    <n v="229.21599999999998"/>
    <x v="146"/>
    <n v="2767.4400000000005"/>
    <n v="300"/>
    <x v="0"/>
  </r>
  <r>
    <s v="P197"/>
    <x v="4"/>
    <x v="31"/>
    <n v="308"/>
    <n v="87"/>
    <n v="61.63"/>
    <n v="92.09"/>
    <n v="5.28"/>
    <n v="87.2"/>
    <x v="71"/>
    <d v="2025-07-04T00:00:00"/>
    <s v="Amul"/>
    <s v="23p31a4442@acet.ac.in"/>
    <x v="2"/>
    <n v="73.672000000000011"/>
    <x v="21"/>
    <n v="6731.66"/>
    <n v="31"/>
    <x v="2"/>
  </r>
  <r>
    <s v="P198"/>
    <x v="2"/>
    <x v="40"/>
    <n v="71"/>
    <n v="39"/>
    <n v="49.17"/>
    <n v="72.87"/>
    <n v="5.27"/>
    <n v="71.19"/>
    <x v="157"/>
    <d v="2025-07-06T00:00:00"/>
    <s v="ITC"/>
    <s v="23p31a4403@acet.ac.in"/>
    <x v="0"/>
    <n v="69.226500000000001"/>
    <x v="6"/>
    <n v="758.40000000000009"/>
    <n v="130"/>
    <x v="0"/>
  </r>
  <r>
    <s v="P199"/>
    <x v="2"/>
    <x v="41"/>
    <n v="500"/>
    <n v="196"/>
    <n v="199.25"/>
    <n v="266.63"/>
    <n v="4.6399999999999997"/>
    <n v="266.57"/>
    <x v="158"/>
    <d v="2025-04-05T00:00:00"/>
    <s v="ITC"/>
    <s v="23p31a4442@acet.ac.in"/>
    <x v="2"/>
    <n v="213.304"/>
    <x v="147"/>
    <n v="20483.519999999997"/>
    <n v="530"/>
    <x v="0"/>
  </r>
  <r>
    <s v="P200"/>
    <x v="4"/>
    <x v="42"/>
    <n v="121"/>
    <n v="10"/>
    <n v="148.75"/>
    <n v="217.5"/>
    <n v="2.85"/>
    <n v="215.52"/>
    <x v="20"/>
    <d v="2025-06-04T00:00:00"/>
    <s v="Amul"/>
    <s v="23p31a4403@acet.ac.in"/>
    <x v="2"/>
    <n v="174"/>
    <x v="109"/>
    <n v="7631.25"/>
    <n v="6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5E68A-13C8-4348-9A58-0784C9A7D61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J50:K56" firstHeaderRow="1" firstDataRow="1" firstDataCol="1" rowPageCount="1" colPageCount="1"/>
  <pivotFields count="17">
    <pivotField showAll="0"/>
    <pivotField axis="axisPage" multipleItemSelectionAllowed="1" showAll="0">
      <items count="9">
        <item x="1"/>
        <item h="1" x="6"/>
        <item h="1" x="4"/>
        <item h="1" x="7"/>
        <item h="1" x="3"/>
        <item h="1" x="5"/>
        <item h="1" x="0"/>
        <item h="1" x="2"/>
        <item t="default"/>
      </items>
    </pivotField>
    <pivotField axis="axisRow" showAll="0" sortType="ascending">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autoSortScope>
        <pivotArea dataOnly="0" outline="0" fieldPosition="0">
          <references count="1">
            <reference field="4294967294" count="1" selected="0">
              <x v="0"/>
            </reference>
          </references>
        </pivotArea>
      </autoSortScope>
    </pivotField>
    <pivotField showAll="0"/>
    <pivotField dataField="1"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numFmtId="9" showAll="0"/>
    <pivotField numFmtId="164" showAll="0"/>
    <pivotField numFmtId="1" showAll="0"/>
    <pivotField showAll="0"/>
  </pivotFields>
  <rowFields count="1">
    <field x="2"/>
  </rowFields>
  <rowItems count="6">
    <i>
      <x v="16"/>
    </i>
    <i>
      <x v="29"/>
    </i>
    <i>
      <x v="31"/>
    </i>
    <i>
      <x v="4"/>
    </i>
    <i>
      <x v="28"/>
    </i>
    <i t="grand">
      <x/>
    </i>
  </rowItems>
  <colItems count="1">
    <i/>
  </colItems>
  <pageFields count="1">
    <pageField fld="1" hier="-1"/>
  </pageFields>
  <dataFields count="1">
    <dataField name="Sum of NO_OF_STOCK_LEFT" fld="4" baseField="0" baseItem="0" numFmtId="1"/>
  </dataFields>
  <chartFormats count="41">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2">
          <reference field="4294967294" count="1" selected="0">
            <x v="0"/>
          </reference>
          <reference field="1" count="1" selected="0">
            <x v="2"/>
          </reference>
        </references>
      </pivotArea>
    </chartFormat>
    <chartFormat chart="3" format="4" series="1">
      <pivotArea type="data" outline="0" fieldPosition="0">
        <references count="2">
          <reference field="4294967294" count="1" selected="0">
            <x v="0"/>
          </reference>
          <reference field="1" count="1" selected="0">
            <x v="3"/>
          </reference>
        </references>
      </pivotArea>
    </chartFormat>
    <chartFormat chart="3" format="5" series="1">
      <pivotArea type="data" outline="0" fieldPosition="0">
        <references count="2">
          <reference field="4294967294" count="1" selected="0">
            <x v="0"/>
          </reference>
          <reference field="1" count="1" selected="0">
            <x v="4"/>
          </reference>
        </references>
      </pivotArea>
    </chartFormat>
    <chartFormat chart="3" format="6" series="1">
      <pivotArea type="data" outline="0" fieldPosition="0">
        <references count="2">
          <reference field="4294967294" count="1" selected="0">
            <x v="0"/>
          </reference>
          <reference field="1" count="1" selected="0">
            <x v="5"/>
          </reference>
        </references>
      </pivotArea>
    </chartFormat>
    <chartFormat chart="3" format="7" series="1">
      <pivotArea type="data" outline="0" fieldPosition="0">
        <references count="2">
          <reference field="4294967294" count="1" selected="0">
            <x v="0"/>
          </reference>
          <reference field="1" count="1" selected="0">
            <x v="6"/>
          </reference>
        </references>
      </pivotArea>
    </chartFormat>
    <chartFormat chart="3" format="8" series="1">
      <pivotArea type="data" outline="0" fieldPosition="0">
        <references count="2">
          <reference field="4294967294" count="1" selected="0">
            <x v="0"/>
          </reference>
          <reference field="1" count="1" selected="0">
            <x v="7"/>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3" format="12" series="1">
      <pivotArea type="data" outline="0" fieldPosition="0">
        <references count="2">
          <reference field="4294967294" count="1" selected="0">
            <x v="0"/>
          </reference>
          <reference field="2" count="1" selected="0">
            <x v="4"/>
          </reference>
        </references>
      </pivotArea>
    </chartFormat>
    <chartFormat chart="3" format="13" series="1">
      <pivotArea type="data" outline="0" fieldPosition="0">
        <references count="2">
          <reference field="4294967294" count="1" selected="0">
            <x v="0"/>
          </reference>
          <reference field="2" count="1" selected="0">
            <x v="5"/>
          </reference>
        </references>
      </pivotArea>
    </chartFormat>
    <chartFormat chart="3" format="14" series="1">
      <pivotArea type="data" outline="0" fieldPosition="0">
        <references count="2">
          <reference field="4294967294" count="1" selected="0">
            <x v="0"/>
          </reference>
          <reference field="2" count="1" selected="0">
            <x v="6"/>
          </reference>
        </references>
      </pivotArea>
    </chartFormat>
    <chartFormat chart="3" format="15"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8"/>
          </reference>
        </references>
      </pivotArea>
    </chartFormat>
    <chartFormat chart="3" format="17" series="1">
      <pivotArea type="data" outline="0" fieldPosition="0">
        <references count="2">
          <reference field="4294967294" count="1" selected="0">
            <x v="0"/>
          </reference>
          <reference field="2" count="1" selected="0">
            <x v="9"/>
          </reference>
        </references>
      </pivotArea>
    </chartFormat>
    <chartFormat chart="3" format="18" series="1">
      <pivotArea type="data" outline="0" fieldPosition="0">
        <references count="2">
          <reference field="4294967294" count="1" selected="0">
            <x v="0"/>
          </reference>
          <reference field="2" count="1" selected="0">
            <x v="10"/>
          </reference>
        </references>
      </pivotArea>
    </chartFormat>
    <chartFormat chart="3" format="19" series="1">
      <pivotArea type="data" outline="0" fieldPosition="0">
        <references count="2">
          <reference field="4294967294" count="1" selected="0">
            <x v="0"/>
          </reference>
          <reference field="2" count="1" selected="0">
            <x v="11"/>
          </reference>
        </references>
      </pivotArea>
    </chartFormat>
    <chartFormat chart="3" format="20" series="1">
      <pivotArea type="data" outline="0" fieldPosition="0">
        <references count="2">
          <reference field="4294967294" count="1" selected="0">
            <x v="0"/>
          </reference>
          <reference field="2" count="1" selected="0">
            <x v="12"/>
          </reference>
        </references>
      </pivotArea>
    </chartFormat>
    <chartFormat chart="3" format="21" series="1">
      <pivotArea type="data" outline="0" fieldPosition="0">
        <references count="2">
          <reference field="4294967294" count="1" selected="0">
            <x v="0"/>
          </reference>
          <reference field="2" count="1" selected="0">
            <x v="13"/>
          </reference>
        </references>
      </pivotArea>
    </chartFormat>
    <chartFormat chart="3" format="22" series="1">
      <pivotArea type="data" outline="0" fieldPosition="0">
        <references count="2">
          <reference field="4294967294" count="1" selected="0">
            <x v="0"/>
          </reference>
          <reference field="2" count="1" selected="0">
            <x v="14"/>
          </reference>
        </references>
      </pivotArea>
    </chartFormat>
    <chartFormat chart="3" format="23" series="1">
      <pivotArea type="data" outline="0" fieldPosition="0">
        <references count="2">
          <reference field="4294967294" count="1" selected="0">
            <x v="0"/>
          </reference>
          <reference field="2" count="1" selected="0">
            <x v="15"/>
          </reference>
        </references>
      </pivotArea>
    </chartFormat>
    <chartFormat chart="3" format="24" series="1">
      <pivotArea type="data" outline="0" fieldPosition="0">
        <references count="2">
          <reference field="4294967294" count="1" selected="0">
            <x v="0"/>
          </reference>
          <reference field="2" count="1" selected="0">
            <x v="16"/>
          </reference>
        </references>
      </pivotArea>
    </chartFormat>
    <chartFormat chart="3" format="25" series="1">
      <pivotArea type="data" outline="0" fieldPosition="0">
        <references count="2">
          <reference field="4294967294" count="1" selected="0">
            <x v="0"/>
          </reference>
          <reference field="2" count="1" selected="0">
            <x v="17"/>
          </reference>
        </references>
      </pivotArea>
    </chartFormat>
    <chartFormat chart="3" format="26" series="1">
      <pivotArea type="data" outline="0" fieldPosition="0">
        <references count="2">
          <reference field="4294967294" count="1" selected="0">
            <x v="0"/>
          </reference>
          <reference field="2" count="1" selected="0">
            <x v="18"/>
          </reference>
        </references>
      </pivotArea>
    </chartFormat>
    <chartFormat chart="3" format="27" series="1">
      <pivotArea type="data" outline="0" fieldPosition="0">
        <references count="2">
          <reference field="4294967294" count="1" selected="0">
            <x v="0"/>
          </reference>
          <reference field="2" count="1" selected="0">
            <x v="19"/>
          </reference>
        </references>
      </pivotArea>
    </chartFormat>
    <chartFormat chart="3" format="28" series="1">
      <pivotArea type="data" outline="0" fieldPosition="0">
        <references count="2">
          <reference field="4294967294" count="1" selected="0">
            <x v="0"/>
          </reference>
          <reference field="2" count="1" selected="0">
            <x v="20"/>
          </reference>
        </references>
      </pivotArea>
    </chartFormat>
    <chartFormat chart="3" format="29" series="1">
      <pivotArea type="data" outline="0" fieldPosition="0">
        <references count="2">
          <reference field="4294967294" count="1" selected="0">
            <x v="0"/>
          </reference>
          <reference field="2" count="1" selected="0">
            <x v="21"/>
          </reference>
        </references>
      </pivotArea>
    </chartFormat>
    <chartFormat chart="3" format="30" series="1">
      <pivotArea type="data" outline="0" fieldPosition="0">
        <references count="2">
          <reference field="4294967294" count="1" selected="0">
            <x v="0"/>
          </reference>
          <reference field="2" count="1" selected="0">
            <x v="22"/>
          </reference>
        </references>
      </pivotArea>
    </chartFormat>
    <chartFormat chart="3" format="31" series="1">
      <pivotArea type="data" outline="0" fieldPosition="0">
        <references count="2">
          <reference field="4294967294" count="1" selected="0">
            <x v="0"/>
          </reference>
          <reference field="2" count="1" selected="0">
            <x v="23"/>
          </reference>
        </references>
      </pivotArea>
    </chartFormat>
    <chartFormat chart="3" format="32" series="1">
      <pivotArea type="data" outline="0" fieldPosition="0">
        <references count="2">
          <reference field="4294967294" count="1" selected="0">
            <x v="0"/>
          </reference>
          <reference field="2" count="1" selected="0">
            <x v="24"/>
          </reference>
        </references>
      </pivotArea>
    </chartFormat>
    <chartFormat chart="3" format="33" series="1">
      <pivotArea type="data" outline="0" fieldPosition="0">
        <references count="2">
          <reference field="4294967294" count="1" selected="0">
            <x v="0"/>
          </reference>
          <reference field="2" count="1" selected="0">
            <x v="25"/>
          </reference>
        </references>
      </pivotArea>
    </chartFormat>
    <chartFormat chart="3" format="34" series="1">
      <pivotArea type="data" outline="0" fieldPosition="0">
        <references count="2">
          <reference field="4294967294" count="1" selected="0">
            <x v="0"/>
          </reference>
          <reference field="2" count="1" selected="0">
            <x v="26"/>
          </reference>
        </references>
      </pivotArea>
    </chartFormat>
    <chartFormat chart="3" format="35" series="1">
      <pivotArea type="data" outline="0" fieldPosition="0">
        <references count="2">
          <reference field="4294967294" count="1" selected="0">
            <x v="0"/>
          </reference>
          <reference field="2" count="1" selected="0">
            <x v="27"/>
          </reference>
        </references>
      </pivotArea>
    </chartFormat>
    <chartFormat chart="3" format="36" series="1">
      <pivotArea type="data" outline="0" fieldPosition="0">
        <references count="2">
          <reference field="4294967294" count="1" selected="0">
            <x v="0"/>
          </reference>
          <reference field="2" count="1" selected="0">
            <x v="28"/>
          </reference>
        </references>
      </pivotArea>
    </chartFormat>
    <chartFormat chart="3" format="37" series="1">
      <pivotArea type="data" outline="0" fieldPosition="0">
        <references count="2">
          <reference field="4294967294" count="1" selected="0">
            <x v="0"/>
          </reference>
          <reference field="2" count="1" selected="0">
            <x v="29"/>
          </reference>
        </references>
      </pivotArea>
    </chartFormat>
    <chartFormat chart="3" format="38" series="1">
      <pivotArea type="data" outline="0" fieldPosition="0">
        <references count="2">
          <reference field="4294967294" count="1" selected="0">
            <x v="0"/>
          </reference>
          <reference field="2" count="1" selected="0">
            <x v="30"/>
          </reference>
        </references>
      </pivotArea>
    </chartFormat>
    <chartFormat chart="3" format="39" series="1">
      <pivotArea type="data" outline="0" fieldPosition="0">
        <references count="2">
          <reference field="4294967294" count="1" selected="0">
            <x v="0"/>
          </reference>
          <reference field="2" count="1" selected="0">
            <x v="31"/>
          </reference>
        </references>
      </pivotArea>
    </chartFormat>
    <chartFormat chart="3" format="40" series="1">
      <pivotArea type="data" outline="0" fieldPosition="0">
        <references count="2">
          <reference field="4294967294" count="1" selected="0">
            <x v="0"/>
          </reference>
          <reference field="2" count="1" selected="0">
            <x v="32"/>
          </reference>
        </references>
      </pivotArea>
    </chartFormat>
    <chartFormat chart="3" format="41" series="1">
      <pivotArea type="data" outline="0" fieldPosition="0">
        <references count="2">
          <reference field="4294967294" count="1" selected="0">
            <x v="0"/>
          </reference>
          <reference field="2" count="1" selected="0">
            <x v="33"/>
          </reference>
        </references>
      </pivotArea>
    </chartFormat>
  </chartFormat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A1A9B-FD69-4B45-8BCD-F249A340270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2:G27" firstHeaderRow="1" firstDataRow="1" firstDataCol="1"/>
  <pivotFields count="17">
    <pivotField showAll="0"/>
    <pivotField showAll="0">
      <items count="9">
        <item x="1"/>
        <item x="6"/>
        <item x="4"/>
        <item x="7"/>
        <item x="3"/>
        <item x="5"/>
        <item x="0"/>
        <item x="2"/>
        <item t="default"/>
      </items>
    </pivotField>
    <pivotField axis="axisRow" showAll="0">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pivotField>
    <pivotField showAll="0"/>
    <pivotField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dataField="1" numFmtId="9" showAll="0"/>
    <pivotField numFmtId="164" showAll="0"/>
    <pivotField numFmtId="1" showAll="0"/>
    <pivotField showAll="0"/>
  </pivotFields>
  <rowFields count="1">
    <field x="2"/>
  </rowFields>
  <rowItems count="15">
    <i>
      <x v="1"/>
    </i>
    <i>
      <x v="4"/>
    </i>
    <i>
      <x v="5"/>
    </i>
    <i>
      <x v="8"/>
    </i>
    <i>
      <x v="9"/>
    </i>
    <i>
      <x v="11"/>
    </i>
    <i>
      <x v="12"/>
    </i>
    <i>
      <x v="13"/>
    </i>
    <i>
      <x v="18"/>
    </i>
    <i>
      <x v="20"/>
    </i>
    <i>
      <x v="27"/>
    </i>
    <i>
      <x v="29"/>
    </i>
    <i>
      <x v="30"/>
    </i>
    <i>
      <x v="32"/>
    </i>
    <i t="grand">
      <x/>
    </i>
  </rowItems>
  <colItems count="1">
    <i/>
  </colItems>
  <dataFields count="1">
    <dataField name="Average of DISCOUNT" fld="13" subtotal="average" baseField="2" baseItem="0" numFmtId="9"/>
  </dataField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66D75-B2FD-46AB-9686-4148168B178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B37" firstHeaderRow="1" firstDataRow="1" firstDataCol="0"/>
  <pivotFields count="19">
    <pivotField showAll="0"/>
    <pivotField showAll="0"/>
    <pivotField dataField="1"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showAll="0"/>
  </pivotFields>
  <rowItems count="1">
    <i/>
  </rowItems>
  <colItems count="1">
    <i/>
  </colItems>
  <dataFields count="1">
    <dataField name="Count of PRODUCT_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7B891-D2AA-49A2-BFF6-7E68C4DED2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6" firstHeaderRow="0" firstDataRow="1" firstDataCol="0"/>
  <pivotFields count="17">
    <pivotField showAll="0"/>
    <pivotField showAll="0">
      <items count="9">
        <item x="1"/>
        <item x="6"/>
        <item x="4"/>
        <item x="7"/>
        <item x="3"/>
        <item x="5"/>
        <item x="0"/>
        <item x="2"/>
        <item t="default"/>
      </items>
    </pivotField>
    <pivotField showAll="0"/>
    <pivotField dataField="1"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dataField="1" numFmtId="1" showAll="0"/>
    <pivotField showAll="0"/>
  </pivotFields>
  <rowItems count="1">
    <i/>
  </rowItems>
  <colFields count="1">
    <field x="-2"/>
  </colFields>
  <colItems count="3">
    <i>
      <x/>
    </i>
    <i i="1">
      <x v="1"/>
    </i>
    <i i="2">
      <x v="2"/>
    </i>
  </colItems>
  <dataFields count="3">
    <dataField name="Sum of NO_OF_STOCK_LEFT" fld="4" baseField="0" baseItem="0" numFmtId="1"/>
    <dataField name="Sum of NO_OF_STOCK_UNIT_PURCHASED_BY_STORE" fld="3" baseField="0" baseItem="0"/>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F1E26-2B48-4612-BC12-1549FA4BC9A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B45" firstHeaderRow="1" firstDataRow="1" firstDataCol="0" rowPageCount="1" colPageCount="1"/>
  <pivotFields count="19">
    <pivotField showAll="0"/>
    <pivotField showAll="0"/>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axis="axisPage" dataField="1" multipleItemSelectionAllowed="1" showAll="0">
      <items count="4">
        <item h="1" x="0"/>
        <item x="2"/>
        <item h="1" x="1"/>
        <item t="default"/>
      </items>
    </pivotField>
  </pivotFields>
  <rowItems count="1">
    <i/>
  </rowItems>
  <colItems count="1">
    <i/>
  </colItems>
  <pageFields count="1">
    <pageField fld="18" hier="-1"/>
  </pageFields>
  <dataFields count="1">
    <dataField name="Count of EXPIRY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B6C4ED-0492-4470-AC11-0089CA8754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20" firstHeaderRow="1" firstDataRow="1" firstDataCol="1"/>
  <pivotFields count="17">
    <pivotField showAll="0"/>
    <pivotField axis="axisRow" showAll="0">
      <items count="9">
        <item x="1"/>
        <item x="6"/>
        <item x="4"/>
        <item x="7"/>
        <item x="3"/>
        <item x="5"/>
        <item x="0"/>
        <item x="2"/>
        <item t="default"/>
      </items>
    </pivotField>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dataField="1" showAll="0"/>
  </pivotFields>
  <rowFields count="1">
    <field x="1"/>
  </rowFields>
  <rowItems count="9">
    <i>
      <x/>
    </i>
    <i>
      <x v="1"/>
    </i>
    <i>
      <x v="2"/>
    </i>
    <i>
      <x v="3"/>
    </i>
    <i>
      <x v="4"/>
    </i>
    <i>
      <x v="5"/>
    </i>
    <i>
      <x v="6"/>
    </i>
    <i>
      <x v="7"/>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7E0BDE-1547-4B09-A5CC-F306D4FA214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4:R50" firstHeaderRow="1" firstDataRow="1" firstDataCol="1" rowPageCount="1" colPageCount="1"/>
  <pivotFields count="19">
    <pivotField showAll="0"/>
    <pivotField showAll="0"/>
    <pivotField axis="axisRow" showAll="0">
      <items count="44">
        <item x="5"/>
        <item x="31"/>
        <item x="37"/>
        <item x="11"/>
        <item x="23"/>
        <item x="13"/>
        <item x="39"/>
        <item x="32"/>
        <item x="9"/>
        <item x="27"/>
        <item x="0"/>
        <item x="3"/>
        <item x="8"/>
        <item x="7"/>
        <item x="36"/>
        <item x="14"/>
        <item x="15"/>
        <item x="35"/>
        <item x="29"/>
        <item x="2"/>
        <item x="4"/>
        <item x="12"/>
        <item x="17"/>
        <item x="10"/>
        <item x="20"/>
        <item x="16"/>
        <item x="42"/>
        <item x="30"/>
        <item x="1"/>
        <item x="19"/>
        <item x="21"/>
        <item x="6"/>
        <item x="25"/>
        <item x="18"/>
        <item x="22"/>
        <item x="24"/>
        <item x="26"/>
        <item x="28"/>
        <item x="33"/>
        <item x="34"/>
        <item x="38"/>
        <item x="40"/>
        <item x="41"/>
        <item t="default"/>
      </items>
    </pivotField>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numFmtId="164" showAll="0"/>
    <pivotField showAll="0"/>
    <pivotField axis="axisPage" dataField="1" multipleItemSelectionAllowed="1" showAll="0">
      <items count="4">
        <item h="1" x="0"/>
        <item x="2"/>
        <item h="1" x="1"/>
        <item t="default"/>
      </items>
    </pivotField>
  </pivotFields>
  <rowFields count="1">
    <field x="2"/>
  </rowFields>
  <rowItems count="16">
    <i>
      <x v="1"/>
    </i>
    <i>
      <x v="4"/>
    </i>
    <i>
      <x v="6"/>
    </i>
    <i>
      <x v="9"/>
    </i>
    <i>
      <x v="11"/>
    </i>
    <i>
      <x v="12"/>
    </i>
    <i>
      <x v="18"/>
    </i>
    <i>
      <x v="20"/>
    </i>
    <i>
      <x v="23"/>
    </i>
    <i>
      <x v="27"/>
    </i>
    <i>
      <x v="28"/>
    </i>
    <i>
      <x v="30"/>
    </i>
    <i>
      <x v="31"/>
    </i>
    <i>
      <x v="32"/>
    </i>
    <i>
      <x v="35"/>
    </i>
    <i t="grand">
      <x/>
    </i>
  </rowItems>
  <colItems count="1">
    <i/>
  </colItems>
  <pageFields count="1">
    <pageField fld="18" hier="-1"/>
  </pageFields>
  <dataFields count="1">
    <dataField name="Count of EXPIRY 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B1DB0-7850-4127-8676-DD22489CD79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0:N86" firstHeaderRow="1" firstDataRow="1" firstDataCol="1" rowPageCount="1" colPageCount="1"/>
  <pivotFields count="19">
    <pivotField showAll="0"/>
    <pivotField showAll="0"/>
    <pivotField axis="axisRow" showAll="0" sortType="descending">
      <items count="44">
        <item x="5"/>
        <item x="31"/>
        <item x="37"/>
        <item x="11"/>
        <item x="23"/>
        <item x="13"/>
        <item x="39"/>
        <item x="32"/>
        <item x="9"/>
        <item x="27"/>
        <item x="0"/>
        <item x="3"/>
        <item x="8"/>
        <item x="7"/>
        <item x="36"/>
        <item x="14"/>
        <item x="15"/>
        <item x="35"/>
        <item x="29"/>
        <item x="2"/>
        <item x="4"/>
        <item x="12"/>
        <item x="17"/>
        <item x="10"/>
        <item x="20"/>
        <item x="16"/>
        <item x="42"/>
        <item x="30"/>
        <item x="1"/>
        <item x="19"/>
        <item x="21"/>
        <item x="6"/>
        <item x="25"/>
        <item x="18"/>
        <item x="22"/>
        <item x="24"/>
        <item x="26"/>
        <item x="28"/>
        <item x="33"/>
        <item x="34"/>
        <item x="38"/>
        <item x="40"/>
        <item x="41"/>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axis="axisPage" dataField="1" numFmtId="1" multipleItemSelectionAllowed="1" showAll="0">
      <items count="149">
        <item h="1" x="92"/>
        <item h="1" x="35"/>
        <item h="1" x="41"/>
        <item h="1" x="129"/>
        <item h="1" x="29"/>
        <item h="1" x="131"/>
        <item h="1" x="94"/>
        <item h="1" x="4"/>
        <item h="1" x="25"/>
        <item h="1" x="42"/>
        <item h="1" x="62"/>
        <item h="1" x="68"/>
        <item h="1" x="46"/>
        <item h="1" x="37"/>
        <item h="1" x="133"/>
        <item h="1" x="39"/>
        <item h="1" x="69"/>
        <item h="1" x="64"/>
        <item h="1" x="6"/>
        <item h="1" x="55"/>
        <item h="1" x="12"/>
        <item h="1" x="112"/>
        <item h="1" x="105"/>
        <item h="1" x="78"/>
        <item h="1" x="146"/>
        <item h="1" x="0"/>
        <item h="1" x="54"/>
        <item h="1" x="122"/>
        <item h="1" x="14"/>
        <item h="1" x="10"/>
        <item h="1" x="47"/>
        <item h="1" x="126"/>
        <item h="1" x="13"/>
        <item h="1" x="11"/>
        <item h="1" x="119"/>
        <item h="1" x="130"/>
        <item h="1" x="44"/>
        <item h="1" x="56"/>
        <item h="1" x="30"/>
        <item h="1" x="59"/>
        <item h="1" x="24"/>
        <item h="1" x="45"/>
        <item h="1" x="28"/>
        <item h="1" x="81"/>
        <item h="1" x="95"/>
        <item h="1" x="70"/>
        <item h="1" x="76"/>
        <item h="1" x="120"/>
        <item h="1" x="75"/>
        <item h="1" x="61"/>
        <item h="1" x="36"/>
        <item h="1" x="113"/>
        <item h="1" x="17"/>
        <item h="1" x="3"/>
        <item h="1" x="7"/>
        <item h="1" x="31"/>
        <item h="1" x="67"/>
        <item h="1" x="139"/>
        <item h="1" x="72"/>
        <item h="1" x="60"/>
        <item h="1" x="77"/>
        <item h="1" x="97"/>
        <item h="1" x="71"/>
        <item h="1" x="125"/>
        <item h="1" x="108"/>
        <item h="1" x="109"/>
        <item h="1" x="50"/>
        <item h="1" x="8"/>
        <item h="1" x="49"/>
        <item h="1" x="57"/>
        <item h="1" x="27"/>
        <item h="1" x="26"/>
        <item h="1" x="73"/>
        <item h="1" x="99"/>
        <item h="1" x="141"/>
        <item h="1" x="1"/>
        <item h="1" x="19"/>
        <item h="1" x="74"/>
        <item h="1" x="134"/>
        <item h="1" x="22"/>
        <item h="1" x="5"/>
        <item h="1" x="144"/>
        <item h="1" x="80"/>
        <item h="1" x="52"/>
        <item h="1" x="145"/>
        <item h="1" x="82"/>
        <item h="1" x="83"/>
        <item h="1" x="93"/>
        <item h="1" x="63"/>
        <item h="1" x="110"/>
        <item h="1" x="51"/>
        <item h="1" x="143"/>
        <item h="1" x="87"/>
        <item h="1" x="128"/>
        <item h="1" x="103"/>
        <item h="1" x="106"/>
        <item h="1" x="136"/>
        <item h="1" x="142"/>
        <item h="1" x="121"/>
        <item h="1" x="127"/>
        <item h="1" x="32"/>
        <item h="1" x="111"/>
        <item h="1" x="40"/>
        <item h="1" x="34"/>
        <item h="1" x="21"/>
        <item h="1" x="104"/>
        <item h="1" x="48"/>
        <item h="1" x="135"/>
        <item h="1" x="107"/>
        <item h="1" x="20"/>
        <item h="1" x="116"/>
        <item h="1" x="114"/>
        <item h="1" x="118"/>
        <item h="1" x="86"/>
        <item h="1" x="140"/>
        <item h="1" x="9"/>
        <item h="1" x="58"/>
        <item h="1" x="89"/>
        <item h="1" x="124"/>
        <item h="1" x="53"/>
        <item h="1" x="102"/>
        <item h="1" x="85"/>
        <item h="1" x="117"/>
        <item h="1" x="23"/>
        <item h="1" x="38"/>
        <item h="1" x="16"/>
        <item h="1" x="91"/>
        <item h="1" x="147"/>
        <item h="1" x="43"/>
        <item h="1" x="98"/>
        <item h="1" x="84"/>
        <item h="1" x="66"/>
        <item h="1" x="137"/>
        <item h="1" x="65"/>
        <item h="1" x="138"/>
        <item h="1" x="123"/>
        <item h="1" x="100"/>
        <item h="1" x="2"/>
        <item h="1" x="18"/>
        <item h="1" x="79"/>
        <item h="1" x="96"/>
        <item h="1" x="90"/>
        <item h="1" x="15"/>
        <item x="88"/>
        <item x="33"/>
        <item x="115"/>
        <item x="132"/>
        <item x="101"/>
        <item t="default"/>
      </items>
    </pivotField>
    <pivotField numFmtId="164" showAll="0"/>
    <pivotField showAll="0"/>
    <pivotField showAll="0"/>
  </pivotFields>
  <rowFields count="1">
    <field x="2"/>
  </rowFields>
  <rowItems count="6">
    <i>
      <x v="38"/>
    </i>
    <i>
      <x v="27"/>
    </i>
    <i>
      <x v="17"/>
    </i>
    <i>
      <x v="13"/>
    </i>
    <i>
      <x v="18"/>
    </i>
    <i t="grand">
      <x/>
    </i>
  </rowItems>
  <colItems count="1">
    <i/>
  </colItems>
  <pageFields count="1">
    <pageField fld="15" hier="-1"/>
  </pageFields>
  <dataFields count="1">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8A84B3-C4A8-405F-962A-6D47927599F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9:G30" firstHeaderRow="1" firstDataRow="1" firstDataCol="0"/>
  <pivotFields count="17">
    <pivotField showAll="0"/>
    <pivotField showAll="0">
      <items count="9">
        <item x="1"/>
        <item x="6"/>
        <item x="4"/>
        <item x="7"/>
        <item x="3"/>
        <item x="5"/>
        <item x="0"/>
        <item x="2"/>
        <item t="default"/>
      </items>
    </pivotField>
    <pivotField showAll="0">
      <items count="35">
        <item x="5"/>
        <item x="27"/>
        <item x="31"/>
        <item x="11"/>
        <item x="22"/>
        <item x="13"/>
        <item x="32"/>
        <item x="28"/>
        <item x="9"/>
        <item x="24"/>
        <item x="0"/>
        <item x="3"/>
        <item x="8"/>
        <item x="7"/>
        <item x="30"/>
        <item x="14"/>
        <item x="15"/>
        <item x="29"/>
        <item x="25"/>
        <item x="2"/>
        <item x="4"/>
        <item x="12"/>
        <item x="17"/>
        <item x="10"/>
        <item x="20"/>
        <item x="16"/>
        <item x="33"/>
        <item x="26"/>
        <item x="1"/>
        <item x="19"/>
        <item x="21"/>
        <item x="6"/>
        <item x="23"/>
        <item x="18"/>
        <item t="default"/>
      </items>
    </pivotField>
    <pivotField showAll="0"/>
    <pivotField numFmtId="1" showAll="0"/>
    <pivotField numFmtId="1" showAll="0"/>
    <pivotField numFmtId="1" showAll="0"/>
    <pivotField numFmtId="1" showAll="0"/>
    <pivotField numFmtId="1" showAll="0"/>
    <pivotField numFmtId="14" showAll="0">
      <items count="181">
        <item x="35"/>
        <item x="171"/>
        <item x="46"/>
        <item x="30"/>
        <item x="52"/>
        <item x="26"/>
        <item x="2"/>
        <item x="18"/>
        <item x="31"/>
        <item x="130"/>
        <item x="146"/>
        <item x="164"/>
        <item x="122"/>
        <item x="166"/>
        <item x="92"/>
        <item x="138"/>
        <item x="135"/>
        <item x="134"/>
        <item x="147"/>
        <item x="152"/>
        <item x="54"/>
        <item x="170"/>
        <item x="90"/>
        <item x="24"/>
        <item x="177"/>
        <item x="70"/>
        <item x="145"/>
        <item x="5"/>
        <item x="140"/>
        <item x="160"/>
        <item x="51"/>
        <item x="43"/>
        <item x="6"/>
        <item x="53"/>
        <item x="175"/>
        <item x="40"/>
        <item x="60"/>
        <item x="0"/>
        <item x="151"/>
        <item x="126"/>
        <item x="56"/>
        <item x="81"/>
        <item x="15"/>
        <item x="75"/>
        <item x="98"/>
        <item x="41"/>
        <item x="100"/>
        <item x="7"/>
        <item x="27"/>
        <item x="159"/>
        <item x="179"/>
        <item x="168"/>
        <item x="132"/>
        <item x="117"/>
        <item x="85"/>
        <item x="45"/>
        <item x="108"/>
        <item x="113"/>
        <item x="103"/>
        <item x="124"/>
        <item x="77"/>
        <item x="125"/>
        <item x="42"/>
        <item x="82"/>
        <item x="38"/>
        <item x="86"/>
        <item x="34"/>
        <item x="64"/>
        <item x="47"/>
        <item x="114"/>
        <item x="13"/>
        <item x="107"/>
        <item x="156"/>
        <item x="141"/>
        <item x="158"/>
        <item x="99"/>
        <item x="33"/>
        <item x="12"/>
        <item x="116"/>
        <item x="87"/>
        <item x="80"/>
        <item x="91"/>
        <item x="153"/>
        <item x="78"/>
        <item x="111"/>
        <item x="112"/>
        <item x="69"/>
        <item x="121"/>
        <item x="173"/>
        <item x="101"/>
        <item x="94"/>
        <item x="17"/>
        <item x="137"/>
        <item x="16"/>
        <item x="61"/>
        <item x="104"/>
        <item x="96"/>
        <item x="28"/>
        <item x="165"/>
        <item x="176"/>
        <item x="129"/>
        <item x="149"/>
        <item x="36"/>
        <item x="119"/>
        <item x="136"/>
        <item x="127"/>
        <item x="32"/>
        <item x="55"/>
        <item x="163"/>
        <item x="131"/>
        <item x="95"/>
        <item x="63"/>
        <item x="161"/>
        <item x="20"/>
        <item x="11"/>
        <item x="88"/>
        <item x="118"/>
        <item x="74"/>
        <item x="178"/>
        <item x="72"/>
        <item x="65"/>
        <item x="110"/>
        <item x="50"/>
        <item x="155"/>
        <item x="48"/>
        <item x="162"/>
        <item x="25"/>
        <item x="62"/>
        <item x="139"/>
        <item x="106"/>
        <item x="22"/>
        <item x="133"/>
        <item x="148"/>
        <item x="4"/>
        <item x="172"/>
        <item x="79"/>
        <item x="102"/>
        <item x="169"/>
        <item x="23"/>
        <item x="59"/>
        <item x="157"/>
        <item x="128"/>
        <item x="89"/>
        <item x="73"/>
        <item x="143"/>
        <item x="93"/>
        <item x="1"/>
        <item x="154"/>
        <item x="150"/>
        <item x="84"/>
        <item x="97"/>
        <item x="144"/>
        <item x="29"/>
        <item x="76"/>
        <item x="44"/>
        <item x="109"/>
        <item x="105"/>
        <item x="115"/>
        <item x="83"/>
        <item x="167"/>
        <item x="10"/>
        <item x="14"/>
        <item x="19"/>
        <item x="8"/>
        <item x="174"/>
        <item x="123"/>
        <item x="9"/>
        <item x="68"/>
        <item x="142"/>
        <item x="37"/>
        <item x="58"/>
        <item x="71"/>
        <item x="49"/>
        <item x="3"/>
        <item x="67"/>
        <item x="120"/>
        <item x="66"/>
        <item x="39"/>
        <item x="21"/>
        <item x="57"/>
        <item t="default"/>
      </items>
    </pivotField>
    <pivotField numFmtId="14" showAll="0"/>
    <pivotField showAll="0"/>
    <pivotField showAll="0"/>
    <pivotField dataField="1" numFmtId="9" showAll="0"/>
    <pivotField numFmtId="164" showAll="0"/>
    <pivotField numFmtId="1" showAll="0"/>
    <pivotField showAll="0"/>
  </pivotFields>
  <rowItems count="1">
    <i/>
  </rowItems>
  <colItems count="1">
    <i/>
  </colItems>
  <dataFields count="1">
    <dataField name="Average of DISCOUNT" fld="13" subtotal="average" baseField="2" baseItem="0" numFmtId="9"/>
  </dataFields>
  <pivotTableStyleInfo name="PivotStyleLight16" showRowHeaders="1" showColHeaders="1" showRowStripes="0" showColStripes="0" showLastColumn="1"/>
  <filters count="1">
    <filter fld="9" type="dateBetween" evalOrder="-1" id="4" name="EXPIRY_DATE_OF_PRODUCT">
      <autoFilter ref="A1">
        <filterColumn colId="0">
          <customFilters and="1">
            <customFilter operator="greaterThanOrEqual" val="46600"/>
            <customFilter operator="lessThanOrEqual" val="467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3D761-DC49-FD4B-852F-6BD35A318B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3:K42" firstHeaderRow="1" firstDataRow="1" firstDataCol="1"/>
  <pivotFields count="17">
    <pivotField showAll="0"/>
    <pivotField axis="axisRow" showAll="0">
      <items count="9">
        <item x="1"/>
        <item x="6"/>
        <item x="4"/>
        <item x="7"/>
        <item x="3"/>
        <item x="5"/>
        <item x="0"/>
        <item x="2"/>
        <item t="default"/>
      </items>
    </pivotField>
    <pivotField showAll="0"/>
    <pivotField showAll="0"/>
    <pivotField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dataField="1" numFmtId="1" showAll="0"/>
    <pivotField showAll="0"/>
  </pivotFields>
  <rowFields count="1">
    <field x="1"/>
  </rowFields>
  <rowItems count="9">
    <i>
      <x/>
    </i>
    <i>
      <x v="1"/>
    </i>
    <i>
      <x v="2"/>
    </i>
    <i>
      <x v="3"/>
    </i>
    <i>
      <x v="4"/>
    </i>
    <i>
      <x v="5"/>
    </i>
    <i>
      <x v="6"/>
    </i>
    <i>
      <x v="7"/>
    </i>
    <i t="grand">
      <x/>
    </i>
  </rowItems>
  <colItems count="1">
    <i/>
  </colItems>
  <dataFields count="1">
    <dataField name="Sum of SOLD_STOCK" fld="1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6D2D9-7EDA-4128-B3C7-CDEE652DA12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0" firstHeaderRow="0" firstDataRow="1" firstDataCol="0"/>
  <pivotFields count="17">
    <pivotField showAll="0"/>
    <pivotField showAll="0">
      <items count="9">
        <item x="1"/>
        <item x="6"/>
        <item x="4"/>
        <item x="7"/>
        <item x="3"/>
        <item x="5"/>
        <item x="0"/>
        <item x="2"/>
        <item t="default"/>
      </items>
    </pivotField>
    <pivotField showAll="0"/>
    <pivotField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dataField="1" numFmtId="9" showAll="0"/>
    <pivotField numFmtId="164" showAll="0"/>
    <pivotField numFmtId="1" showAll="0"/>
    <pivotField showAll="0"/>
  </pivotFields>
  <rowItems count="1">
    <i/>
  </rowItems>
  <colFields count="1">
    <field x="-2"/>
  </colFields>
  <colItems count="2">
    <i>
      <x/>
    </i>
    <i i="1">
      <x v="1"/>
    </i>
  </colItems>
  <dataFields count="2">
    <dataField name="Sum of DISCOUNT" fld="13" baseField="0" baseItem="0" numFmtId="9"/>
    <dataField name="Sum of NO_OF_STOCK_LEFT"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50DB14-1190-49BA-ABDB-7F2E290139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30" firstHeaderRow="1" firstDataRow="1" firstDataCol="1"/>
  <pivotFields count="17">
    <pivotField showAll="0"/>
    <pivotField axis="axisRow" showAll="0">
      <items count="9">
        <item x="1"/>
        <item x="6"/>
        <item x="4"/>
        <item x="7"/>
        <item x="3"/>
        <item x="5"/>
        <item x="0"/>
        <item x="2"/>
        <item t="default"/>
      </items>
    </pivotField>
    <pivotField showAll="0"/>
    <pivotField showAll="0"/>
    <pivotField dataField="1" numFmtId="1" showAll="0"/>
    <pivotField numFmtId="1" showAll="0"/>
    <pivotField numFmtId="1" showAll="0"/>
    <pivotField numFmtId="1" showAll="0"/>
    <pivotField numFmtId="1" showAll="0"/>
    <pivotField numFmtId="14" showAll="0"/>
    <pivotField numFmtId="14" showAll="0"/>
    <pivotField showAll="0"/>
    <pivotField showAll="0"/>
    <pivotField numFmtId="9" showAll="0"/>
    <pivotField numFmtId="164" showAll="0"/>
    <pivotField numFmtId="1" showAll="0"/>
    <pivotField showAll="0"/>
  </pivotFields>
  <rowFields count="1">
    <field x="1"/>
  </rowFields>
  <rowItems count="9">
    <i>
      <x/>
    </i>
    <i>
      <x v="1"/>
    </i>
    <i>
      <x v="2"/>
    </i>
    <i>
      <x v="3"/>
    </i>
    <i>
      <x v="4"/>
    </i>
    <i>
      <x v="5"/>
    </i>
    <i>
      <x v="6"/>
    </i>
    <i>
      <x v="7"/>
    </i>
    <i t="grand">
      <x/>
    </i>
  </rowItems>
  <colItems count="1">
    <i/>
  </colItems>
  <dataFields count="1">
    <dataField name="Sum of NO_OF_STOCK_LEFT"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59A4C7-961D-1D47-B8FB-58CC3CFE0C7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W4:X10" firstHeaderRow="1" firstDataRow="1" firstDataCol="1"/>
  <pivotFields count="19">
    <pivotField compact="0" outline="0" showAll="0"/>
    <pivotField compact="0" outline="0" multipleItemSelectionAllowed="1" showAll="0">
      <items count="9">
        <item x="1"/>
        <item h="1" x="6"/>
        <item h="1" x="4"/>
        <item h="1" x="7"/>
        <item h="1" x="3"/>
        <item h="1" x="5"/>
        <item h="1" x="0"/>
        <item h="1" x="2"/>
        <item t="default"/>
      </items>
    </pivotField>
    <pivotField name="Product" axis="axisRow" compact="0" outline="0" showAll="0">
      <items count="44">
        <item x="5"/>
        <item x="31"/>
        <item x="37"/>
        <item x="11"/>
        <item x="23"/>
        <item x="13"/>
        <item x="39"/>
        <item x="32"/>
        <item x="9"/>
        <item x="27"/>
        <item x="0"/>
        <item x="3"/>
        <item x="8"/>
        <item x="28"/>
        <item x="7"/>
        <item x="34"/>
        <item x="36"/>
        <item x="14"/>
        <item x="15"/>
        <item x="35"/>
        <item x="29"/>
        <item x="22"/>
        <item x="40"/>
        <item x="2"/>
        <item x="41"/>
        <item x="38"/>
        <item x="33"/>
        <item x="4"/>
        <item x="12"/>
        <item x="17"/>
        <item x="10"/>
        <item x="20"/>
        <item x="16"/>
        <item x="42"/>
        <item x="30"/>
        <item x="1"/>
        <item x="19"/>
        <item x="24"/>
        <item x="21"/>
        <item x="6"/>
        <item x="25"/>
        <item x="26"/>
        <item x="18"/>
        <item t="default"/>
      </items>
    </pivotField>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4" outline="0" showAll="0"/>
    <pivotField compact="0" numFmtId="14" outline="0" showAll="0"/>
    <pivotField compact="0" outline="0" showAll="0"/>
    <pivotField compact="0" outline="0" showAll="0"/>
    <pivotField dataField="1" compact="0" numFmtId="9" outline="0" showAll="0"/>
    <pivotField compact="0" numFmtId="164" outline="0" showAll="0"/>
    <pivotField compact="0" numFmtId="1" outline="0" showAll="0"/>
    <pivotField compact="0" numFmtId="164" outline="0" showAll="0"/>
    <pivotField compact="0" outline="0" showAll="0"/>
    <pivotField compact="0" outline="0" showAll="0"/>
  </pivotFields>
  <rowFields count="1">
    <field x="2"/>
  </rowFields>
  <rowItems count="6">
    <i>
      <x v="4"/>
    </i>
    <i>
      <x v="18"/>
    </i>
    <i>
      <x v="35"/>
    </i>
    <i>
      <x v="36"/>
    </i>
    <i>
      <x v="39"/>
    </i>
    <i t="grand">
      <x/>
    </i>
  </rowItems>
  <colItems count="1">
    <i/>
  </colItems>
  <dataFields count="1">
    <dataField name="Average of DISCOUNT" fld="13" subtotal="average" baseField="0" baseItem="0" numFmtId="9"/>
  </dataFields>
  <formats count="10">
    <format dxfId="39">
      <pivotArea field="2" type="button" dataOnly="0" labelOnly="1" outline="0" axis="axisRow" fieldPosition="0"/>
    </format>
    <format dxfId="38">
      <pivotArea dataOnly="0" labelOnly="1" outline="0" axis="axisValues" fieldPosition="0"/>
    </format>
    <format dxfId="37">
      <pivotArea outline="0" fieldPosition="0">
        <references count="1">
          <reference field="2" count="0" selected="0"/>
        </references>
      </pivotArea>
    </format>
    <format dxfId="36">
      <pivotArea dataOnly="0" labelOnly="1" outline="0" fieldPosition="0">
        <references count="1">
          <reference field="2" count="0"/>
        </references>
      </pivotArea>
    </format>
    <format dxfId="35">
      <pivotArea outline="0" fieldPosition="0">
        <references count="1">
          <reference field="2" count="0" selected="0"/>
        </references>
      </pivotArea>
    </format>
    <format dxfId="34">
      <pivotArea dataOnly="0" labelOnly="1" outline="0" fieldPosition="0">
        <references count="1">
          <reference field="2" count="0"/>
        </references>
      </pivotArea>
    </format>
    <format dxfId="33">
      <pivotArea grandRow="1" outline="0" collapsedLevelsAreSubtotals="1" fieldPosition="0"/>
    </format>
    <format dxfId="32">
      <pivotArea dataOnly="0" labelOnly="1" grandRow="1" outline="0" fieldPosition="0"/>
    </format>
    <format dxfId="31">
      <pivotArea outline="0" collapsedLevelsAreSubtotals="1" fieldPosition="0"/>
    </format>
    <format dxfId="30">
      <pivotArea dataOnly="0" labelOnly="1" outline="0" fieldPosition="0">
        <references count="1">
          <reference field="2" count="0"/>
        </references>
      </pivotArea>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OF_PRODUCT" xr10:uid="{25A1E0AD-5250-49A9-B94F-D10A622A6962}" sourceName="CATEGORY_OF_PRODUCT">
  <pivotTables>
    <pivotTable tabId="3" name="PivotTable1"/>
  </pivotTables>
  <data>
    <tabular pivotCacheId="1504228216">
      <items count="8">
        <i x="1" s="1"/>
        <i x="6"/>
        <i x="4"/>
        <i x="7"/>
        <i x="3"/>
        <i x="5"/>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OF_PRODUCT 1" xr10:uid="{50861CD2-9682-7C40-9225-12228E07E75C}" cache="Slicer_CATEGORY_OF_PRODUCT" caption="CATEGORY" style="SlicerStyleDark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4BEBE7-2FA7-4DD8-AD5D-50CD382AB743}" name="Table1" displayName="Table1" ref="A1:S200" totalsRowShown="0" headerRowDxfId="60" dataDxfId="59" tableBorderDxfId="58">
  <autoFilter ref="A1:S200" xr:uid="{D44BEBE7-2FA7-4DD8-AD5D-50CD382AB743}"/>
  <tableColumns count="19">
    <tableColumn id="1" xr3:uid="{FF6BDDDB-5243-4816-BB39-7B389DE500EF}" name="UNIQUE_ID_OF_PRODUCT" dataDxfId="57"/>
    <tableColumn id="2" xr3:uid="{99E36D6B-D95F-4009-A2FB-E2F45119F2B0}" name="CATEGORY_OF_PRODUCT" dataDxfId="56"/>
    <tableColumn id="3" xr3:uid="{5B32D839-6DB0-4514-86E3-336F6B73DBA8}" name="PRODUCT_NAME"/>
    <tableColumn id="4" xr3:uid="{30063561-0A6C-42E0-B3CE-B73BC9005477}" name="NO_OF_STOCK_UNIT_PURCHASED_BY_STORE" dataDxfId="55"/>
    <tableColumn id="5" xr3:uid="{084ED161-AEAA-49CE-B86A-D2ADAAAEF1A3}" name="NO_OF_STOCK_LEFT" dataDxfId="54"/>
    <tableColumn id="6" xr3:uid="{765AD3CB-0D1F-4F5C-9332-6F0C35F86621}" name="UNIT_COST_FROM_COMPANY_TO_STORE" dataDxfId="53"/>
    <tableColumn id="7" xr3:uid="{952F7E26-CEC3-435C-A284-0C30FFBB2006}" name="MRP" dataDxfId="52"/>
    <tableColumn id="8" xr3:uid="{46FCACD6-9869-483F-886F-1487DCFD9D2C}" name="DISCOUNT_GIVEN_BY_COMPANY_TO_STORE" dataDxfId="51"/>
    <tableColumn id="9" xr3:uid="{C1182174-5979-4C14-BE1F-2D1A8F17D8F1}" name="ACTUAL_PRICE_TO_CUSTOMER" dataDxfId="50"/>
    <tableColumn id="10" xr3:uid="{E920543E-9632-4C52-B238-E6021580E810}" name="EXPIRY_DATE_OF_PRODUCT" dataDxfId="49"/>
    <tableColumn id="11" xr3:uid="{C05D7F3F-CC90-4DC2-AF44-C3504B5CD515}" name="DATE_OF_STOCK_PURCHASED" dataDxfId="48"/>
    <tableColumn id="12" xr3:uid="{2C7B773D-FB42-4F97-B8CF-59AAE1001834}" name="PURCHASED_COMPANY_NAME" dataDxfId="47"/>
    <tableColumn id="13" xr3:uid="{7624E91A-D582-4D0C-A047-CBC760904966}" name="COMPANY_EMAIL_FOR_ORDERING" dataDxfId="46" dataCellStyle="Hyperlink"/>
    <tableColumn id="14" xr3:uid="{C715079F-75E5-4A6F-BEFB-4CC5BA401488}" name="DISCOUNT" dataDxfId="45">
      <calculatedColumnFormula>IF(OR(E2&gt;200,J2&lt;=TODAY()+30),0.4,
   IF(OR(AND(E2&gt;=100,E2&lt;=200),J2&lt;=TODAY()+90),0.2,0.05))</calculatedColumnFormula>
    </tableColumn>
    <tableColumn id="15" xr3:uid="{BFCC7F8D-A477-4D9E-8307-8D72D5391561}" name="PRICE_AFTER_DISCOUNT" dataDxfId="44">
      <calculatedColumnFormula>G2*(1-N2)</calculatedColumnFormula>
    </tableColumn>
    <tableColumn id="16" xr3:uid="{E6E858F7-AD1B-4663-8ED9-E7C8E1E18932}" name="SOLD_STOCK" dataDxfId="43">
      <calculatedColumnFormula>(inventory_data!$D2-inventory_data!$E2)</calculatedColumnFormula>
    </tableColumn>
    <tableColumn id="17" xr3:uid="{1A368684-3431-4525-8562-A8E581DB6EED}" name="PROFIT" dataDxfId="42" dataCellStyle="Percent">
      <calculatedColumnFormula>(G2-F2)*P2</calculatedColumnFormula>
    </tableColumn>
    <tableColumn id="19" xr3:uid="{5E62D93E-1021-4903-A203-8E856B85839A}" name="DAYS LEFT" dataDxfId="41">
      <calculatedColumnFormula>J2-TODAY()</calculatedColumnFormula>
    </tableColumn>
    <tableColumn id="18" xr3:uid="{637C1D9B-22DA-4B67-93A0-31F663DC9B34}" name="EXPIRY STATUS" dataDxfId="40">
      <calculatedColumnFormula>IF(R2&lt;=40,"Near Expiry",IF(R2&gt;41,"Far Expiry"))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23p31a4442@acet.ac.in" TargetMode="External"/><Relationship Id="rId21" Type="http://schemas.openxmlformats.org/officeDocument/2006/relationships/hyperlink" Target="mailto:23p31a4442@acet.ac.in" TargetMode="External"/><Relationship Id="rId42" Type="http://schemas.openxmlformats.org/officeDocument/2006/relationships/hyperlink" Target="mailto:23p31a4442@acet.ac.in" TargetMode="External"/><Relationship Id="rId47" Type="http://schemas.openxmlformats.org/officeDocument/2006/relationships/hyperlink" Target="mailto:23p31a4442@acet.ac.in" TargetMode="External"/><Relationship Id="rId63" Type="http://schemas.openxmlformats.org/officeDocument/2006/relationships/hyperlink" Target="mailto:23p31a4403@acet.ac.in" TargetMode="External"/><Relationship Id="rId68" Type="http://schemas.openxmlformats.org/officeDocument/2006/relationships/hyperlink" Target="mailto:23p31a4403@acet.ac.in" TargetMode="External"/><Relationship Id="rId84" Type="http://schemas.openxmlformats.org/officeDocument/2006/relationships/hyperlink" Target="mailto:23p31a4403@acet.ac.in" TargetMode="External"/><Relationship Id="rId89" Type="http://schemas.openxmlformats.org/officeDocument/2006/relationships/hyperlink" Target="mailto:23p31a4403@acet.ac.in" TargetMode="External"/><Relationship Id="rId16" Type="http://schemas.openxmlformats.org/officeDocument/2006/relationships/hyperlink" Target="mailto:23p31a4442@acet.ac.in" TargetMode="External"/><Relationship Id="rId11" Type="http://schemas.openxmlformats.org/officeDocument/2006/relationships/hyperlink" Target="mailto:23p31a4442@acet.ac.in" TargetMode="External"/><Relationship Id="rId32" Type="http://schemas.openxmlformats.org/officeDocument/2006/relationships/hyperlink" Target="mailto:23p31a4442@acet.ac.in" TargetMode="External"/><Relationship Id="rId37" Type="http://schemas.openxmlformats.org/officeDocument/2006/relationships/hyperlink" Target="mailto:23p31a4442@acet.ac.in" TargetMode="External"/><Relationship Id="rId53" Type="http://schemas.openxmlformats.org/officeDocument/2006/relationships/hyperlink" Target="mailto:23p31a4403@acet.ac.in" TargetMode="External"/><Relationship Id="rId58" Type="http://schemas.openxmlformats.org/officeDocument/2006/relationships/hyperlink" Target="mailto:23p31a4403@acet.ac.in" TargetMode="External"/><Relationship Id="rId74" Type="http://schemas.openxmlformats.org/officeDocument/2006/relationships/hyperlink" Target="mailto:23p31a4403@acet.ac.in" TargetMode="External"/><Relationship Id="rId79" Type="http://schemas.openxmlformats.org/officeDocument/2006/relationships/hyperlink" Target="mailto:23p31a4403@acet.ac.in" TargetMode="External"/><Relationship Id="rId5" Type="http://schemas.openxmlformats.org/officeDocument/2006/relationships/hyperlink" Target="mailto:23p31a4442@acet.ac.in" TargetMode="External"/><Relationship Id="rId90" Type="http://schemas.openxmlformats.org/officeDocument/2006/relationships/hyperlink" Target="mailto:23p31a4403@acet.ac.in" TargetMode="External"/><Relationship Id="rId95" Type="http://schemas.openxmlformats.org/officeDocument/2006/relationships/hyperlink" Target="mailto:23p31a4403@acet.ac.in" TargetMode="External"/><Relationship Id="rId22" Type="http://schemas.openxmlformats.org/officeDocument/2006/relationships/hyperlink" Target="mailto:23p31a4442@acet.ac.in" TargetMode="External"/><Relationship Id="rId27" Type="http://schemas.openxmlformats.org/officeDocument/2006/relationships/hyperlink" Target="mailto:23p31a4442@acet.ac.in" TargetMode="External"/><Relationship Id="rId43" Type="http://schemas.openxmlformats.org/officeDocument/2006/relationships/hyperlink" Target="mailto:23p31a4442@acet.ac.in" TargetMode="External"/><Relationship Id="rId48" Type="http://schemas.openxmlformats.org/officeDocument/2006/relationships/hyperlink" Target="mailto:23p31a4442@acet.ac.in" TargetMode="External"/><Relationship Id="rId64" Type="http://schemas.openxmlformats.org/officeDocument/2006/relationships/hyperlink" Target="mailto:23p31a4403@acet.ac.in" TargetMode="External"/><Relationship Id="rId69" Type="http://schemas.openxmlformats.org/officeDocument/2006/relationships/hyperlink" Target="mailto:23p31a4442@acet.ac.in" TargetMode="External"/><Relationship Id="rId80" Type="http://schemas.openxmlformats.org/officeDocument/2006/relationships/hyperlink" Target="mailto:23p31a4403@acet.ac.in" TargetMode="External"/><Relationship Id="rId85" Type="http://schemas.openxmlformats.org/officeDocument/2006/relationships/hyperlink" Target="mailto:23p31a4403@acet.ac.in" TargetMode="External"/><Relationship Id="rId12" Type="http://schemas.openxmlformats.org/officeDocument/2006/relationships/hyperlink" Target="mailto:23p31a4442@acet.ac.in" TargetMode="External"/><Relationship Id="rId17" Type="http://schemas.openxmlformats.org/officeDocument/2006/relationships/hyperlink" Target="mailto:23p31a4442@acet.ac.in" TargetMode="External"/><Relationship Id="rId25" Type="http://schemas.openxmlformats.org/officeDocument/2006/relationships/hyperlink" Target="mailto:23p31a4442@acet.ac.in" TargetMode="External"/><Relationship Id="rId33" Type="http://schemas.openxmlformats.org/officeDocument/2006/relationships/hyperlink" Target="mailto:23p31a4442@acet.ac.in" TargetMode="External"/><Relationship Id="rId38" Type="http://schemas.openxmlformats.org/officeDocument/2006/relationships/hyperlink" Target="mailto:23p31a4442@acet.ac.in" TargetMode="External"/><Relationship Id="rId46" Type="http://schemas.openxmlformats.org/officeDocument/2006/relationships/hyperlink" Target="mailto:23p31a4442@acet.ac.in" TargetMode="External"/><Relationship Id="rId59" Type="http://schemas.openxmlformats.org/officeDocument/2006/relationships/hyperlink" Target="mailto:23p31a42c0@acet.ac.in" TargetMode="External"/><Relationship Id="rId67" Type="http://schemas.openxmlformats.org/officeDocument/2006/relationships/hyperlink" Target="mailto:23p31a4403@acet.ac.in" TargetMode="External"/><Relationship Id="rId20" Type="http://schemas.openxmlformats.org/officeDocument/2006/relationships/hyperlink" Target="mailto:23p31a4442@acet.ac.in" TargetMode="External"/><Relationship Id="rId41" Type="http://schemas.openxmlformats.org/officeDocument/2006/relationships/hyperlink" Target="mailto:23p31a4442@acet.ac.in" TargetMode="External"/><Relationship Id="rId54" Type="http://schemas.openxmlformats.org/officeDocument/2006/relationships/hyperlink" Target="mailto:23p31a4403@acet.ac.in" TargetMode="External"/><Relationship Id="rId62" Type="http://schemas.openxmlformats.org/officeDocument/2006/relationships/hyperlink" Target="mailto:23p31a4403@acet.ac.in" TargetMode="External"/><Relationship Id="rId70" Type="http://schemas.openxmlformats.org/officeDocument/2006/relationships/hyperlink" Target="mailto:23p31a4403@acet.ac.in" TargetMode="External"/><Relationship Id="rId75" Type="http://schemas.openxmlformats.org/officeDocument/2006/relationships/hyperlink" Target="mailto:23p31a4403@acet.ac.in" TargetMode="External"/><Relationship Id="rId83" Type="http://schemas.openxmlformats.org/officeDocument/2006/relationships/hyperlink" Target="mailto:23p31a4403@acet.ac.in" TargetMode="External"/><Relationship Id="rId88" Type="http://schemas.openxmlformats.org/officeDocument/2006/relationships/hyperlink" Target="mailto:23p31a4403@acet.ac.in" TargetMode="External"/><Relationship Id="rId91" Type="http://schemas.openxmlformats.org/officeDocument/2006/relationships/hyperlink" Target="mailto:23p31a4403@acet.ac.in" TargetMode="External"/><Relationship Id="rId96" Type="http://schemas.openxmlformats.org/officeDocument/2006/relationships/hyperlink" Target="mailto:23p31a4403@acet.ac.in" TargetMode="External"/><Relationship Id="rId1" Type="http://schemas.openxmlformats.org/officeDocument/2006/relationships/hyperlink" Target="mailto:23p31a4403@acet.ac.in" TargetMode="External"/><Relationship Id="rId6" Type="http://schemas.openxmlformats.org/officeDocument/2006/relationships/hyperlink" Target="mailto:23p31a4442@acet.ac.in" TargetMode="External"/><Relationship Id="rId15" Type="http://schemas.openxmlformats.org/officeDocument/2006/relationships/hyperlink" Target="mailto:23p31a4442@acet.ac.in" TargetMode="External"/><Relationship Id="rId23" Type="http://schemas.openxmlformats.org/officeDocument/2006/relationships/hyperlink" Target="mailto:23p31a4442@acet.ac.in" TargetMode="External"/><Relationship Id="rId28" Type="http://schemas.openxmlformats.org/officeDocument/2006/relationships/hyperlink" Target="mailto:23p31a4442@acet.ac.in" TargetMode="External"/><Relationship Id="rId36" Type="http://schemas.openxmlformats.org/officeDocument/2006/relationships/hyperlink" Target="mailto:23p31a4442@acet.ac.in" TargetMode="External"/><Relationship Id="rId49" Type="http://schemas.openxmlformats.org/officeDocument/2006/relationships/hyperlink" Target="mailto:23p31a4442@acet.ac.in" TargetMode="External"/><Relationship Id="rId57" Type="http://schemas.openxmlformats.org/officeDocument/2006/relationships/hyperlink" Target="mailto:23p31a4403@acet.ac.in" TargetMode="External"/><Relationship Id="rId10" Type="http://schemas.openxmlformats.org/officeDocument/2006/relationships/hyperlink" Target="mailto:23p31a4442@acet.ac.in" TargetMode="External"/><Relationship Id="rId31" Type="http://schemas.openxmlformats.org/officeDocument/2006/relationships/hyperlink" Target="mailto:23p31a4442@acet.ac.in" TargetMode="External"/><Relationship Id="rId44" Type="http://schemas.openxmlformats.org/officeDocument/2006/relationships/hyperlink" Target="mailto:23p31a4442@acet.ac.in" TargetMode="External"/><Relationship Id="rId52" Type="http://schemas.openxmlformats.org/officeDocument/2006/relationships/hyperlink" Target="mailto:23p31a4403@acet.ac.in" TargetMode="External"/><Relationship Id="rId60" Type="http://schemas.openxmlformats.org/officeDocument/2006/relationships/hyperlink" Target="mailto:23p31a4403@acet.ac.in" TargetMode="External"/><Relationship Id="rId65" Type="http://schemas.openxmlformats.org/officeDocument/2006/relationships/hyperlink" Target="mailto:23p31a4403@acet.ac.in" TargetMode="External"/><Relationship Id="rId73" Type="http://schemas.openxmlformats.org/officeDocument/2006/relationships/hyperlink" Target="mailto:23p31a4403@acet.ac.in" TargetMode="External"/><Relationship Id="rId78" Type="http://schemas.openxmlformats.org/officeDocument/2006/relationships/hyperlink" Target="mailto:23p31a4403@acet.ac.in" TargetMode="External"/><Relationship Id="rId81" Type="http://schemas.openxmlformats.org/officeDocument/2006/relationships/hyperlink" Target="mailto:23p31a4403@acet.ac.in" TargetMode="External"/><Relationship Id="rId86" Type="http://schemas.openxmlformats.org/officeDocument/2006/relationships/hyperlink" Target="mailto:23p31a4403@acet.ac.in" TargetMode="External"/><Relationship Id="rId94" Type="http://schemas.openxmlformats.org/officeDocument/2006/relationships/hyperlink" Target="mailto:23p31a4403@acet.ac.in" TargetMode="External"/><Relationship Id="rId99" Type="http://schemas.openxmlformats.org/officeDocument/2006/relationships/hyperlink" Target="mailto:23p31a42c0@acet.ac.in" TargetMode="External"/><Relationship Id="rId101" Type="http://schemas.openxmlformats.org/officeDocument/2006/relationships/table" Target="../tables/table1.xml"/><Relationship Id="rId4" Type="http://schemas.openxmlformats.org/officeDocument/2006/relationships/hyperlink" Target="mailto:23p31a4442@acet.ac.in" TargetMode="External"/><Relationship Id="rId9" Type="http://schemas.openxmlformats.org/officeDocument/2006/relationships/hyperlink" Target="mailto:23p31a4442@acet.ac.in" TargetMode="External"/><Relationship Id="rId13" Type="http://schemas.openxmlformats.org/officeDocument/2006/relationships/hyperlink" Target="mailto:23p31a4442@acet.ac.in" TargetMode="External"/><Relationship Id="rId18" Type="http://schemas.openxmlformats.org/officeDocument/2006/relationships/hyperlink" Target="mailto:23p31a4442@acet.ac.in" TargetMode="External"/><Relationship Id="rId39" Type="http://schemas.openxmlformats.org/officeDocument/2006/relationships/hyperlink" Target="mailto:23p31a4442@acet.ac.in" TargetMode="External"/><Relationship Id="rId34" Type="http://schemas.openxmlformats.org/officeDocument/2006/relationships/hyperlink" Target="mailto:23p31a4442@acet.ac.in" TargetMode="External"/><Relationship Id="rId50" Type="http://schemas.openxmlformats.org/officeDocument/2006/relationships/hyperlink" Target="mailto:23p31a4442@acet.ac.in" TargetMode="External"/><Relationship Id="rId55" Type="http://schemas.openxmlformats.org/officeDocument/2006/relationships/hyperlink" Target="mailto:23p31a4403@acet.ac.in" TargetMode="External"/><Relationship Id="rId76" Type="http://schemas.openxmlformats.org/officeDocument/2006/relationships/hyperlink" Target="mailto:23p31a4403@acet.ac.in" TargetMode="External"/><Relationship Id="rId97" Type="http://schemas.openxmlformats.org/officeDocument/2006/relationships/hyperlink" Target="mailto:23p31a4403@acet.ac.in" TargetMode="External"/><Relationship Id="rId7" Type="http://schemas.openxmlformats.org/officeDocument/2006/relationships/hyperlink" Target="mailto:23p31a4442@acet.ac.in" TargetMode="External"/><Relationship Id="rId71" Type="http://schemas.openxmlformats.org/officeDocument/2006/relationships/hyperlink" Target="mailto:23p31a4403@acet.ac.in" TargetMode="External"/><Relationship Id="rId92" Type="http://schemas.openxmlformats.org/officeDocument/2006/relationships/hyperlink" Target="mailto:23p31a4403@acet.ac.in" TargetMode="External"/><Relationship Id="rId2" Type="http://schemas.openxmlformats.org/officeDocument/2006/relationships/hyperlink" Target="mailto:23p31a4442@acet.ac.in" TargetMode="External"/><Relationship Id="rId29" Type="http://schemas.openxmlformats.org/officeDocument/2006/relationships/hyperlink" Target="mailto:23p31a4442@acet.ac.in" TargetMode="External"/><Relationship Id="rId24" Type="http://schemas.openxmlformats.org/officeDocument/2006/relationships/hyperlink" Target="mailto:23p31a4442@acet.ac.in" TargetMode="External"/><Relationship Id="rId40" Type="http://schemas.openxmlformats.org/officeDocument/2006/relationships/hyperlink" Target="mailto:23p31a4442@acet.ac.in" TargetMode="External"/><Relationship Id="rId45" Type="http://schemas.openxmlformats.org/officeDocument/2006/relationships/hyperlink" Target="mailto:23p31a4442@acet.ac.in" TargetMode="External"/><Relationship Id="rId66" Type="http://schemas.openxmlformats.org/officeDocument/2006/relationships/hyperlink" Target="mailto:23p31a4403@acet.ac.in" TargetMode="External"/><Relationship Id="rId87" Type="http://schemas.openxmlformats.org/officeDocument/2006/relationships/hyperlink" Target="mailto:23p31a4403@acet.ac.in" TargetMode="External"/><Relationship Id="rId61" Type="http://schemas.openxmlformats.org/officeDocument/2006/relationships/hyperlink" Target="mailto:23p31a4403@acet.ac.in" TargetMode="External"/><Relationship Id="rId82" Type="http://schemas.openxmlformats.org/officeDocument/2006/relationships/hyperlink" Target="mailto:23p31a4403@acet.ac.in" TargetMode="External"/><Relationship Id="rId19" Type="http://schemas.openxmlformats.org/officeDocument/2006/relationships/hyperlink" Target="mailto:23p31a4442@acet.ac.in" TargetMode="External"/><Relationship Id="rId14" Type="http://schemas.openxmlformats.org/officeDocument/2006/relationships/hyperlink" Target="mailto:23p31a4442@acet.ac.in" TargetMode="External"/><Relationship Id="rId30" Type="http://schemas.openxmlformats.org/officeDocument/2006/relationships/hyperlink" Target="mailto:23p31a4442@acet.ac.in" TargetMode="External"/><Relationship Id="rId35" Type="http://schemas.openxmlformats.org/officeDocument/2006/relationships/hyperlink" Target="mailto:23p31a4442@acet.ac.in" TargetMode="External"/><Relationship Id="rId56" Type="http://schemas.openxmlformats.org/officeDocument/2006/relationships/hyperlink" Target="mailto:23p31a4403@acet.ac.in" TargetMode="External"/><Relationship Id="rId77" Type="http://schemas.openxmlformats.org/officeDocument/2006/relationships/hyperlink" Target="mailto:23p31a4403@acet.ac.in" TargetMode="External"/><Relationship Id="rId100" Type="http://schemas.openxmlformats.org/officeDocument/2006/relationships/printerSettings" Target="../printerSettings/printerSettings1.bin"/><Relationship Id="rId8" Type="http://schemas.openxmlformats.org/officeDocument/2006/relationships/hyperlink" Target="mailto:23p31a4442@acet.ac.in" TargetMode="External"/><Relationship Id="rId51" Type="http://schemas.openxmlformats.org/officeDocument/2006/relationships/hyperlink" Target="mailto:23p314403@acet.ac.in" TargetMode="External"/><Relationship Id="rId72" Type="http://schemas.openxmlformats.org/officeDocument/2006/relationships/hyperlink" Target="mailto:23p31a4403@acet.ac.in" TargetMode="External"/><Relationship Id="rId93" Type="http://schemas.openxmlformats.org/officeDocument/2006/relationships/hyperlink" Target="mailto:23p31a4403@acet.ac.in" TargetMode="External"/><Relationship Id="rId98" Type="http://schemas.openxmlformats.org/officeDocument/2006/relationships/hyperlink" Target="mailto:23p31a4403@acet.ac.in" TargetMode="External"/><Relationship Id="rId3" Type="http://schemas.openxmlformats.org/officeDocument/2006/relationships/hyperlink" Target="mailto:23p31a4442@acet.ac.in"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3A15-51AF-4B38-8007-D390DABD04BB}">
  <dimension ref="A1:S218"/>
  <sheetViews>
    <sheetView zoomScale="125" workbookViewId="0">
      <selection activeCell="C9" sqref="C9"/>
    </sheetView>
  </sheetViews>
  <sheetFormatPr defaultColWidth="8.88671875" defaultRowHeight="14.4" x14ac:dyDescent="0.3"/>
  <cols>
    <col min="1" max="1" width="26.6640625" customWidth="1"/>
    <col min="2" max="2" width="26.33203125" customWidth="1"/>
    <col min="3" max="3" width="50.21875" bestFit="1" customWidth="1"/>
    <col min="4" max="4" width="44.77734375" style="3" bestFit="1" customWidth="1"/>
    <col min="5" max="5" width="21.5546875" customWidth="1"/>
    <col min="6" max="6" width="40.44140625" bestFit="1" customWidth="1"/>
    <col min="7" max="7" width="10.33203125" customWidth="1"/>
    <col min="8" max="8" width="43.5546875" customWidth="1"/>
    <col min="9" max="9" width="31.44140625" customWidth="1"/>
    <col min="10" max="10" width="30.88671875" customWidth="1"/>
    <col min="11" max="11" width="31.44140625" bestFit="1" customWidth="1"/>
    <col min="12" max="12" width="34.44140625" bestFit="1" customWidth="1"/>
    <col min="13" max="13" width="34.5546875" customWidth="1"/>
    <col min="14" max="14" width="13" style="8" customWidth="1"/>
    <col min="15" max="15" width="26" customWidth="1"/>
    <col min="16" max="16" width="15.44140625" customWidth="1"/>
    <col min="17" max="17" width="11.109375" style="37" customWidth="1"/>
    <col min="18" max="18" width="10.33203125" bestFit="1" customWidth="1"/>
    <col min="19" max="19" width="13.5546875" customWidth="1"/>
  </cols>
  <sheetData>
    <row r="1" spans="1:19" s="4" customFormat="1" x14ac:dyDescent="0.3">
      <c r="A1" s="38" t="s">
        <v>0</v>
      </c>
      <c r="B1" s="38" t="s">
        <v>1</v>
      </c>
      <c r="C1" s="38" t="s">
        <v>2</v>
      </c>
      <c r="D1" s="38" t="s">
        <v>3</v>
      </c>
      <c r="E1" s="39" t="s">
        <v>4</v>
      </c>
      <c r="F1" s="38" t="s">
        <v>5</v>
      </c>
      <c r="G1" s="38" t="s">
        <v>6</v>
      </c>
      <c r="H1" s="38" t="s">
        <v>7</v>
      </c>
      <c r="I1" s="38" t="s">
        <v>8</v>
      </c>
      <c r="J1" s="38" t="s">
        <v>9</v>
      </c>
      <c r="K1" s="38" t="s">
        <v>10</v>
      </c>
      <c r="L1" s="38" t="s">
        <v>11</v>
      </c>
      <c r="M1" s="38" t="s">
        <v>12</v>
      </c>
      <c r="N1" s="40" t="s">
        <v>13</v>
      </c>
      <c r="O1" s="38" t="s">
        <v>14</v>
      </c>
      <c r="P1" s="38" t="s">
        <v>15</v>
      </c>
      <c r="Q1" s="41" t="s">
        <v>16</v>
      </c>
      <c r="R1" s="38" t="s">
        <v>17</v>
      </c>
      <c r="S1" s="38" t="s">
        <v>18</v>
      </c>
    </row>
    <row r="2" spans="1:19" x14ac:dyDescent="0.3">
      <c r="A2" s="9" t="s">
        <v>19</v>
      </c>
      <c r="B2" s="9" t="s">
        <v>20</v>
      </c>
      <c r="C2" s="9" t="s">
        <v>21</v>
      </c>
      <c r="D2" s="9">
        <v>50</v>
      </c>
      <c r="E2" s="10">
        <v>10</v>
      </c>
      <c r="F2" s="10">
        <v>86.49</v>
      </c>
      <c r="G2" s="10">
        <v>128.66999999999999</v>
      </c>
      <c r="H2" s="10">
        <v>9.34</v>
      </c>
      <c r="I2" s="10">
        <v>127.25</v>
      </c>
      <c r="J2" s="11">
        <v>46044</v>
      </c>
      <c r="K2" s="11">
        <v>45859</v>
      </c>
      <c r="L2" s="9" t="s">
        <v>22</v>
      </c>
      <c r="M2" s="12" t="s">
        <v>23</v>
      </c>
      <c r="N2" s="13">
        <f ca="1">IF(OR(E2&gt;200,J2&lt;=TODAY()+30),0.4,
   IF(OR(AND(E2&gt;=100,E2&lt;=200),J2&lt;=TODAY()+90),0.2,0.05))</f>
        <v>0.2</v>
      </c>
      <c r="O2" s="14">
        <f ca="1">G2*(1-N2)</f>
        <v>102.93599999999999</v>
      </c>
      <c r="P2" s="10">
        <f>(inventory_data!$D2-inventory_data!$E2)</f>
        <v>40</v>
      </c>
      <c r="Q2" s="36">
        <f t="shared" ref="Q2:Q33" si="0">(G2-F2)*P2</f>
        <v>1687.1999999999998</v>
      </c>
      <c r="R2" s="5">
        <f ca="1">J2-TODAY()</f>
        <v>77</v>
      </c>
      <c r="S2" s="5" t="str">
        <f ca="1">IF(R2&lt;=40,"Near Expiry",IF(R2&gt;41,"Far Expiry"))</f>
        <v>Far Expiry</v>
      </c>
    </row>
    <row r="3" spans="1:19" x14ac:dyDescent="0.3">
      <c r="A3" s="6" t="s">
        <v>24</v>
      </c>
      <c r="B3" s="6" t="s">
        <v>25</v>
      </c>
      <c r="C3" s="6" t="s">
        <v>26</v>
      </c>
      <c r="D3" s="6">
        <v>355</v>
      </c>
      <c r="E3" s="15">
        <v>219</v>
      </c>
      <c r="F3" s="15">
        <v>26.45</v>
      </c>
      <c r="G3" s="15">
        <v>34.840000000000003</v>
      </c>
      <c r="H3" s="15">
        <v>7.24</v>
      </c>
      <c r="I3" s="15">
        <v>32.380000000000003</v>
      </c>
      <c r="J3" s="16">
        <v>46590</v>
      </c>
      <c r="K3" s="16">
        <v>45860</v>
      </c>
      <c r="L3" s="6" t="s">
        <v>27</v>
      </c>
      <c r="M3" s="1" t="s">
        <v>28</v>
      </c>
      <c r="N3" s="17">
        <f ca="1">IF(OR(E3&gt;200,J3&lt;=TODAY()+30),0.4,
   IF(OR(AND(E3&gt;=100,E3&lt;=200),J3&lt;=TODAY()+90),0.2,0.05))</f>
        <v>0.4</v>
      </c>
      <c r="O3" s="18">
        <f ca="1">G3*(1-N3)</f>
        <v>20.904</v>
      </c>
      <c r="P3" s="15">
        <f>(inventory_data!$D3-inventory_data!$E3)</f>
        <v>136</v>
      </c>
      <c r="Q3" s="36">
        <f t="shared" si="0"/>
        <v>1141.0400000000006</v>
      </c>
      <c r="R3" s="5">
        <f t="shared" ref="R3:R66" ca="1" si="1">J3-TODAY()</f>
        <v>623</v>
      </c>
      <c r="S3" s="5" t="str">
        <f t="shared" ref="S3:S66" ca="1" si="2">IF(R3&lt;=40,"Near Expiry",IF(R3&gt;41,"Far Expiry"))</f>
        <v>Far Expiry</v>
      </c>
    </row>
    <row r="4" spans="1:19" x14ac:dyDescent="0.3">
      <c r="A4" s="5" t="s">
        <v>29</v>
      </c>
      <c r="B4" s="5" t="s">
        <v>30</v>
      </c>
      <c r="C4" s="5" t="s">
        <v>31</v>
      </c>
      <c r="D4" s="5">
        <v>479</v>
      </c>
      <c r="E4" s="19">
        <v>97</v>
      </c>
      <c r="F4" s="19">
        <v>120.29</v>
      </c>
      <c r="G4" s="19">
        <v>161.5</v>
      </c>
      <c r="H4" s="19">
        <v>3.86</v>
      </c>
      <c r="I4" s="19">
        <v>160.51</v>
      </c>
      <c r="J4" s="20">
        <v>45910</v>
      </c>
      <c r="K4" s="20">
        <v>45848</v>
      </c>
      <c r="L4" s="5" t="s">
        <v>32</v>
      </c>
      <c r="M4" s="21" t="s">
        <v>28</v>
      </c>
      <c r="N4" s="22">
        <f t="shared" ref="N4:N33" ca="1" si="3">IF(OR(E4&gt;200,J4&lt;=TODAY()+30),0.4,
   IF(OR(AND(E4&gt;=100,E4&lt;=200),J4&lt;=TODAY()+90),0.2,0.05))</f>
        <v>0.4</v>
      </c>
      <c r="O4" s="23">
        <f t="shared" ref="O4:O33" ca="1" si="4">G4*(1-N4)</f>
        <v>96.899999999999991</v>
      </c>
      <c r="P4" s="19">
        <f>(inventory_data!$D4-inventory_data!$E4)</f>
        <v>382</v>
      </c>
      <c r="Q4" s="36">
        <f t="shared" si="0"/>
        <v>15742.219999999998</v>
      </c>
      <c r="R4" s="5">
        <f t="shared" ca="1" si="1"/>
        <v>-57</v>
      </c>
      <c r="S4" s="5" t="str">
        <f t="shared" ca="1" si="2"/>
        <v>Near Expiry</v>
      </c>
    </row>
    <row r="5" spans="1:19" x14ac:dyDescent="0.3">
      <c r="A5" s="6" t="s">
        <v>33</v>
      </c>
      <c r="B5" s="6" t="s">
        <v>20</v>
      </c>
      <c r="C5" s="6" t="s">
        <v>34</v>
      </c>
      <c r="D5" s="6">
        <v>139</v>
      </c>
      <c r="E5" s="15">
        <v>3</v>
      </c>
      <c r="F5" s="15">
        <v>199.19</v>
      </c>
      <c r="G5" s="15">
        <v>289.98</v>
      </c>
      <c r="H5" s="15">
        <v>7</v>
      </c>
      <c r="I5" s="15">
        <v>283.45</v>
      </c>
      <c r="J5" s="16">
        <v>46723</v>
      </c>
      <c r="K5" s="16">
        <v>45758</v>
      </c>
      <c r="L5" s="6" t="s">
        <v>35</v>
      </c>
      <c r="M5" s="1" t="s">
        <v>36</v>
      </c>
      <c r="N5" s="17">
        <f t="shared" ca="1" si="3"/>
        <v>0.05</v>
      </c>
      <c r="O5" s="18">
        <f t="shared" ca="1" si="4"/>
        <v>275.48099999999999</v>
      </c>
      <c r="P5" s="15">
        <f>(inventory_data!$D5-inventory_data!$E5)</f>
        <v>136</v>
      </c>
      <c r="Q5" s="36">
        <f t="shared" si="0"/>
        <v>12347.440000000002</v>
      </c>
      <c r="R5" s="5">
        <f t="shared" ca="1" si="1"/>
        <v>756</v>
      </c>
      <c r="S5" s="5" t="str">
        <f t="shared" ca="1" si="2"/>
        <v>Far Expiry</v>
      </c>
    </row>
    <row r="6" spans="1:19" x14ac:dyDescent="0.3">
      <c r="A6" s="5" t="s">
        <v>37</v>
      </c>
      <c r="B6" s="5" t="s">
        <v>38</v>
      </c>
      <c r="C6" s="5" t="s">
        <v>39</v>
      </c>
      <c r="D6" s="5">
        <v>184</v>
      </c>
      <c r="E6" s="19">
        <v>96</v>
      </c>
      <c r="F6" s="19">
        <v>57.15</v>
      </c>
      <c r="G6" s="19">
        <v>81.260000000000005</v>
      </c>
      <c r="H6" s="19">
        <v>7.22</v>
      </c>
      <c r="I6" s="19">
        <v>81.03</v>
      </c>
      <c r="J6" s="20">
        <v>46479</v>
      </c>
      <c r="K6" s="20">
        <v>45857</v>
      </c>
      <c r="L6" s="5" t="s">
        <v>40</v>
      </c>
      <c r="M6" s="21" t="s">
        <v>28</v>
      </c>
      <c r="N6" s="22">
        <f t="shared" ca="1" si="3"/>
        <v>0.05</v>
      </c>
      <c r="O6" s="23">
        <f t="shared" ca="1" si="4"/>
        <v>77.197000000000003</v>
      </c>
      <c r="P6" s="19">
        <f>(inventory_data!$D6-inventory_data!$E6)</f>
        <v>88</v>
      </c>
      <c r="Q6" s="36">
        <f t="shared" si="0"/>
        <v>2121.6800000000007</v>
      </c>
      <c r="R6" s="5">
        <f t="shared" ca="1" si="1"/>
        <v>512</v>
      </c>
      <c r="S6" s="5" t="str">
        <f t="shared" ca="1" si="2"/>
        <v>Far Expiry</v>
      </c>
    </row>
    <row r="7" spans="1:19" x14ac:dyDescent="0.3">
      <c r="A7" s="6" t="s">
        <v>41</v>
      </c>
      <c r="B7" s="6" t="s">
        <v>20</v>
      </c>
      <c r="C7" s="6" t="s">
        <v>34</v>
      </c>
      <c r="D7" s="6">
        <v>93</v>
      </c>
      <c r="E7" s="15">
        <v>75</v>
      </c>
      <c r="F7" s="15">
        <v>128.76</v>
      </c>
      <c r="G7" s="15">
        <v>165.26</v>
      </c>
      <c r="H7" s="15">
        <v>9.07</v>
      </c>
      <c r="I7" s="15">
        <v>159.36000000000001</v>
      </c>
      <c r="J7" s="16">
        <v>46003</v>
      </c>
      <c r="K7" s="16">
        <v>45803</v>
      </c>
      <c r="L7" s="6" t="s">
        <v>35</v>
      </c>
      <c r="M7" s="1" t="s">
        <v>36</v>
      </c>
      <c r="N7" s="17">
        <f t="shared" ca="1" si="3"/>
        <v>0.2</v>
      </c>
      <c r="O7" s="18">
        <f t="shared" ca="1" si="4"/>
        <v>132.208</v>
      </c>
      <c r="P7" s="15">
        <f>(inventory_data!$D7-inventory_data!$E7)</f>
        <v>18</v>
      </c>
      <c r="Q7" s="36">
        <f t="shared" si="0"/>
        <v>657</v>
      </c>
      <c r="R7" s="5">
        <f t="shared" ca="1" si="1"/>
        <v>36</v>
      </c>
      <c r="S7" s="5" t="str">
        <f t="shared" ca="1" si="2"/>
        <v>Near Expiry</v>
      </c>
    </row>
    <row r="8" spans="1:19" x14ac:dyDescent="0.3">
      <c r="A8" s="5" t="s">
        <v>42</v>
      </c>
      <c r="B8" s="5" t="s">
        <v>43</v>
      </c>
      <c r="C8" s="5" t="s">
        <v>44</v>
      </c>
      <c r="D8" s="5">
        <v>222</v>
      </c>
      <c r="E8" s="19">
        <v>73</v>
      </c>
      <c r="F8" s="19">
        <v>82.46</v>
      </c>
      <c r="G8" s="19">
        <v>117.51</v>
      </c>
      <c r="H8" s="19">
        <v>2.95</v>
      </c>
      <c r="I8" s="19">
        <v>117.51</v>
      </c>
      <c r="J8" s="20">
        <v>46024</v>
      </c>
      <c r="K8" s="20">
        <v>45852</v>
      </c>
      <c r="L8" s="5" t="s">
        <v>45</v>
      </c>
      <c r="M8" s="21" t="s">
        <v>36</v>
      </c>
      <c r="N8" s="22">
        <f t="shared" ca="1" si="3"/>
        <v>0.2</v>
      </c>
      <c r="O8" s="23">
        <f t="shared" ca="1" si="4"/>
        <v>94.00800000000001</v>
      </c>
      <c r="P8" s="19">
        <f>(inventory_data!$D8-inventory_data!$E8)</f>
        <v>149</v>
      </c>
      <c r="Q8" s="36">
        <f t="shared" si="0"/>
        <v>5222.4500000000016</v>
      </c>
      <c r="R8" s="5">
        <f t="shared" ca="1" si="1"/>
        <v>57</v>
      </c>
      <c r="S8" s="5" t="str">
        <f t="shared" ca="1" si="2"/>
        <v>Far Expiry</v>
      </c>
    </row>
    <row r="9" spans="1:19" x14ac:dyDescent="0.3">
      <c r="A9" s="6" t="s">
        <v>46</v>
      </c>
      <c r="B9" s="6" t="s">
        <v>25</v>
      </c>
      <c r="C9" s="6" t="s">
        <v>47</v>
      </c>
      <c r="D9" s="6">
        <v>154</v>
      </c>
      <c r="E9" s="15">
        <v>122</v>
      </c>
      <c r="F9" s="15">
        <v>24.5</v>
      </c>
      <c r="G9" s="15">
        <v>30.68</v>
      </c>
      <c r="H9" s="15">
        <v>4.5999999999999996</v>
      </c>
      <c r="I9" s="15">
        <v>28.42</v>
      </c>
      <c r="J9" s="16">
        <v>46104</v>
      </c>
      <c r="K9" s="16">
        <v>45759</v>
      </c>
      <c r="L9" s="6" t="s">
        <v>32</v>
      </c>
      <c r="M9" s="1" t="s">
        <v>28</v>
      </c>
      <c r="N9" s="17">
        <f t="shared" ca="1" si="3"/>
        <v>0.2</v>
      </c>
      <c r="O9" s="18">
        <f t="shared" ca="1" si="4"/>
        <v>24.544</v>
      </c>
      <c r="P9" s="15">
        <f>(inventory_data!$D9-inventory_data!$E9)</f>
        <v>32</v>
      </c>
      <c r="Q9" s="36">
        <f t="shared" si="0"/>
        <v>197.76</v>
      </c>
      <c r="R9" s="5">
        <f t="shared" ca="1" si="1"/>
        <v>137</v>
      </c>
      <c r="S9" s="5" t="str">
        <f t="shared" ca="1" si="2"/>
        <v>Far Expiry</v>
      </c>
    </row>
    <row r="10" spans="1:19" x14ac:dyDescent="0.3">
      <c r="A10" s="5" t="s">
        <v>48</v>
      </c>
      <c r="B10" s="5" t="s">
        <v>49</v>
      </c>
      <c r="C10" s="5" t="s">
        <v>50</v>
      </c>
      <c r="D10" s="5">
        <v>222</v>
      </c>
      <c r="E10" s="19">
        <v>132</v>
      </c>
      <c r="F10" s="19">
        <v>152.97999999999999</v>
      </c>
      <c r="G10" s="19">
        <v>205.29</v>
      </c>
      <c r="H10" s="19">
        <v>6.22</v>
      </c>
      <c r="I10" s="19">
        <v>202.74</v>
      </c>
      <c r="J10" s="20">
        <v>46679</v>
      </c>
      <c r="K10" s="20">
        <v>45777</v>
      </c>
      <c r="L10" s="5" t="s">
        <v>51</v>
      </c>
      <c r="M10" s="21" t="s">
        <v>28</v>
      </c>
      <c r="N10" s="22">
        <f t="shared" ca="1" si="3"/>
        <v>0.2</v>
      </c>
      <c r="O10" s="23">
        <f t="shared" ca="1" si="4"/>
        <v>164.232</v>
      </c>
      <c r="P10" s="19">
        <f>(inventory_data!$D10-inventory_data!$E10)</f>
        <v>90</v>
      </c>
      <c r="Q10" s="36">
        <f t="shared" si="0"/>
        <v>4707.9000000000005</v>
      </c>
      <c r="R10" s="5">
        <f t="shared" ca="1" si="1"/>
        <v>712</v>
      </c>
      <c r="S10" s="5" t="str">
        <f t="shared" ca="1" si="2"/>
        <v>Far Expiry</v>
      </c>
    </row>
    <row r="11" spans="1:19" x14ac:dyDescent="0.3">
      <c r="A11" s="6" t="s">
        <v>52</v>
      </c>
      <c r="B11" s="6" t="s">
        <v>38</v>
      </c>
      <c r="C11" s="6" t="s">
        <v>53</v>
      </c>
      <c r="D11" s="6">
        <v>450</v>
      </c>
      <c r="E11" s="15">
        <v>331</v>
      </c>
      <c r="F11" s="15">
        <v>70.400000000000006</v>
      </c>
      <c r="G11" s="15">
        <v>100.06</v>
      </c>
      <c r="H11" s="15">
        <v>4.42</v>
      </c>
      <c r="I11" s="15">
        <v>97.87</v>
      </c>
      <c r="J11" s="16">
        <v>46686</v>
      </c>
      <c r="K11" s="16">
        <v>45803</v>
      </c>
      <c r="L11" s="6" t="s">
        <v>32</v>
      </c>
      <c r="M11" s="1" t="s">
        <v>28</v>
      </c>
      <c r="N11" s="17">
        <f t="shared" ca="1" si="3"/>
        <v>0.4</v>
      </c>
      <c r="O11" s="18">
        <f t="shared" ca="1" si="4"/>
        <v>60.036000000000001</v>
      </c>
      <c r="P11" s="15">
        <f>(inventory_data!$D11-inventory_data!$E11)</f>
        <v>119</v>
      </c>
      <c r="Q11" s="36">
        <f t="shared" si="0"/>
        <v>3529.5399999999995</v>
      </c>
      <c r="R11" s="5">
        <f t="shared" ca="1" si="1"/>
        <v>719</v>
      </c>
      <c r="S11" s="5" t="str">
        <f t="shared" ca="1" si="2"/>
        <v>Far Expiry</v>
      </c>
    </row>
    <row r="12" spans="1:19" x14ac:dyDescent="0.3">
      <c r="A12" s="5" t="s">
        <v>54</v>
      </c>
      <c r="B12" s="5" t="s">
        <v>55</v>
      </c>
      <c r="C12" s="5" t="s">
        <v>56</v>
      </c>
      <c r="D12" s="5">
        <v>357</v>
      </c>
      <c r="E12" s="19">
        <v>97</v>
      </c>
      <c r="F12" s="19">
        <v>58.98</v>
      </c>
      <c r="G12" s="19">
        <v>86.99</v>
      </c>
      <c r="H12" s="19">
        <v>8.1199999999999992</v>
      </c>
      <c r="I12" s="19">
        <v>81.19</v>
      </c>
      <c r="J12" s="20">
        <v>45929</v>
      </c>
      <c r="K12" s="20">
        <v>45838</v>
      </c>
      <c r="L12" s="5" t="s">
        <v>57</v>
      </c>
      <c r="M12" s="21" t="s">
        <v>28</v>
      </c>
      <c r="N12" s="22">
        <f t="shared" ca="1" si="3"/>
        <v>0.4</v>
      </c>
      <c r="O12" s="23">
        <f t="shared" ca="1" si="4"/>
        <v>52.193999999999996</v>
      </c>
      <c r="P12" s="19">
        <f>(inventory_data!$D12-inventory_data!$E12)</f>
        <v>260</v>
      </c>
      <c r="Q12" s="36">
        <f t="shared" si="0"/>
        <v>7282.5999999999995</v>
      </c>
      <c r="R12" s="5">
        <f t="shared" ca="1" si="1"/>
        <v>-38</v>
      </c>
      <c r="S12" s="5" t="str">
        <f t="shared" ca="1" si="2"/>
        <v>Near Expiry</v>
      </c>
    </row>
    <row r="13" spans="1:19" x14ac:dyDescent="0.3">
      <c r="A13" s="6" t="s">
        <v>58</v>
      </c>
      <c r="B13" s="6" t="s">
        <v>43</v>
      </c>
      <c r="C13" s="2" t="s">
        <v>59</v>
      </c>
      <c r="D13" s="6">
        <v>50</v>
      </c>
      <c r="E13" s="15">
        <v>3</v>
      </c>
      <c r="F13" s="15">
        <v>39.79</v>
      </c>
      <c r="G13" s="15">
        <v>47.96</v>
      </c>
      <c r="H13" s="15">
        <v>3.94</v>
      </c>
      <c r="I13" s="15">
        <v>47.4</v>
      </c>
      <c r="J13" s="16">
        <v>45899</v>
      </c>
      <c r="K13" s="16">
        <v>45783</v>
      </c>
      <c r="L13" s="6" t="s">
        <v>45</v>
      </c>
      <c r="M13" s="1" t="s">
        <v>36</v>
      </c>
      <c r="N13" s="17">
        <f t="shared" ca="1" si="3"/>
        <v>0.4</v>
      </c>
      <c r="O13" s="18">
        <f t="shared" ca="1" si="4"/>
        <v>28.776</v>
      </c>
      <c r="P13" s="15">
        <f>(inventory_data!$D13-inventory_data!$E13)</f>
        <v>47</v>
      </c>
      <c r="Q13" s="36">
        <f t="shared" si="0"/>
        <v>383.99000000000007</v>
      </c>
      <c r="R13" s="5">
        <f t="shared" ca="1" si="1"/>
        <v>-68</v>
      </c>
      <c r="S13" s="5" t="str">
        <f t="shared" ca="1" si="2"/>
        <v>Near Expiry</v>
      </c>
    </row>
    <row r="14" spans="1:19" x14ac:dyDescent="0.3">
      <c r="A14" s="5" t="s">
        <v>60</v>
      </c>
      <c r="B14" s="5" t="s">
        <v>20</v>
      </c>
      <c r="C14" s="24" t="s">
        <v>61</v>
      </c>
      <c r="D14" s="5">
        <v>103</v>
      </c>
      <c r="E14" s="19">
        <v>52</v>
      </c>
      <c r="F14" s="19">
        <v>51.69</v>
      </c>
      <c r="G14" s="19">
        <v>63.02</v>
      </c>
      <c r="H14" s="19">
        <v>3.33</v>
      </c>
      <c r="I14" s="19">
        <v>62.28</v>
      </c>
      <c r="J14" s="20">
        <v>46234</v>
      </c>
      <c r="K14" s="20">
        <v>45791</v>
      </c>
      <c r="L14" s="5" t="s">
        <v>22</v>
      </c>
      <c r="M14" s="21" t="s">
        <v>36</v>
      </c>
      <c r="N14" s="22">
        <f t="shared" ca="1" si="3"/>
        <v>0.05</v>
      </c>
      <c r="O14" s="23">
        <f t="shared" ca="1" si="4"/>
        <v>59.869</v>
      </c>
      <c r="P14" s="19">
        <f>(inventory_data!$D14-inventory_data!$E14)</f>
        <v>51</v>
      </c>
      <c r="Q14" s="36">
        <f t="shared" si="0"/>
        <v>577.83000000000027</v>
      </c>
      <c r="R14" s="5">
        <f t="shared" ca="1" si="1"/>
        <v>267</v>
      </c>
      <c r="S14" s="5" t="str">
        <f t="shared" ca="1" si="2"/>
        <v>Far Expiry</v>
      </c>
    </row>
    <row r="15" spans="1:19" x14ac:dyDescent="0.3">
      <c r="A15" s="6" t="s">
        <v>62</v>
      </c>
      <c r="B15" s="6" t="s">
        <v>63</v>
      </c>
      <c r="C15" s="25" t="s">
        <v>64</v>
      </c>
      <c r="D15" s="6">
        <v>86</v>
      </c>
      <c r="E15" s="15">
        <v>51</v>
      </c>
      <c r="F15" s="15">
        <v>90.7</v>
      </c>
      <c r="G15" s="15">
        <v>109.44</v>
      </c>
      <c r="H15" s="15">
        <v>8.77</v>
      </c>
      <c r="I15" s="15">
        <v>107.92</v>
      </c>
      <c r="J15" s="16">
        <v>46202</v>
      </c>
      <c r="K15" s="16">
        <v>45767</v>
      </c>
      <c r="L15" s="6" t="s">
        <v>35</v>
      </c>
      <c r="M15" s="1" t="s">
        <v>65</v>
      </c>
      <c r="N15" s="17">
        <f t="shared" ca="1" si="3"/>
        <v>0.05</v>
      </c>
      <c r="O15" s="18">
        <f t="shared" ca="1" si="4"/>
        <v>103.96799999999999</v>
      </c>
      <c r="P15" s="15">
        <f>(inventory_data!$D15-inventory_data!$E15)</f>
        <v>35</v>
      </c>
      <c r="Q15" s="36">
        <f t="shared" si="0"/>
        <v>655.89999999999986</v>
      </c>
      <c r="R15" s="5">
        <f t="shared" ca="1" si="1"/>
        <v>235</v>
      </c>
      <c r="S15" s="5" t="str">
        <f t="shared" ca="1" si="2"/>
        <v>Far Expiry</v>
      </c>
    </row>
    <row r="16" spans="1:19" x14ac:dyDescent="0.3">
      <c r="A16" s="5" t="s">
        <v>66</v>
      </c>
      <c r="B16" s="5" t="s">
        <v>20</v>
      </c>
      <c r="C16" s="24" t="s">
        <v>67</v>
      </c>
      <c r="D16" s="5">
        <v>262</v>
      </c>
      <c r="E16" s="19">
        <v>212</v>
      </c>
      <c r="F16" s="19">
        <v>72.77</v>
      </c>
      <c r="G16" s="19">
        <v>90.54</v>
      </c>
      <c r="H16" s="19">
        <v>2.1800000000000002</v>
      </c>
      <c r="I16" s="19">
        <v>89.94</v>
      </c>
      <c r="J16" s="20">
        <v>46668</v>
      </c>
      <c r="K16" s="20">
        <v>45779</v>
      </c>
      <c r="L16" s="5" t="s">
        <v>68</v>
      </c>
      <c r="M16" s="21" t="s">
        <v>28</v>
      </c>
      <c r="N16" s="22">
        <f t="shared" ca="1" si="3"/>
        <v>0.4</v>
      </c>
      <c r="O16" s="23">
        <f t="shared" ca="1" si="4"/>
        <v>54.324000000000005</v>
      </c>
      <c r="P16" s="19">
        <f>(inventory_data!$D16-inventory_data!$E16)</f>
        <v>50</v>
      </c>
      <c r="Q16" s="36">
        <f t="shared" si="0"/>
        <v>888.50000000000045</v>
      </c>
      <c r="R16" s="5">
        <f t="shared" ca="1" si="1"/>
        <v>701</v>
      </c>
      <c r="S16" s="5" t="str">
        <f t="shared" ca="1" si="2"/>
        <v>Far Expiry</v>
      </c>
    </row>
    <row r="17" spans="1:19" x14ac:dyDescent="0.3">
      <c r="A17" s="6" t="s">
        <v>69</v>
      </c>
      <c r="B17" s="6" t="s">
        <v>20</v>
      </c>
      <c r="C17" s="25" t="s">
        <v>70</v>
      </c>
      <c r="D17" s="6">
        <v>88</v>
      </c>
      <c r="E17" s="15">
        <v>42</v>
      </c>
      <c r="F17" s="15">
        <v>121.56</v>
      </c>
      <c r="G17" s="15">
        <v>175.77</v>
      </c>
      <c r="H17" s="15">
        <v>1.72</v>
      </c>
      <c r="I17" s="15">
        <v>175.25</v>
      </c>
      <c r="J17" s="16">
        <v>46064</v>
      </c>
      <c r="K17" s="16">
        <v>45809</v>
      </c>
      <c r="L17" s="6" t="s">
        <v>68</v>
      </c>
      <c r="M17" s="1" t="s">
        <v>36</v>
      </c>
      <c r="N17" s="17">
        <f t="shared" ca="1" si="3"/>
        <v>0.05</v>
      </c>
      <c r="O17" s="18">
        <f t="shared" ca="1" si="4"/>
        <v>166.98150000000001</v>
      </c>
      <c r="P17" s="15">
        <f>(inventory_data!$D17-inventory_data!$E17)</f>
        <v>46</v>
      </c>
      <c r="Q17" s="36">
        <f t="shared" si="0"/>
        <v>2493.6600000000003</v>
      </c>
      <c r="R17" s="5">
        <f t="shared" ca="1" si="1"/>
        <v>97</v>
      </c>
      <c r="S17" s="5" t="str">
        <f t="shared" ca="1" si="2"/>
        <v>Far Expiry</v>
      </c>
    </row>
    <row r="18" spans="1:19" x14ac:dyDescent="0.3">
      <c r="A18" s="5" t="s">
        <v>71</v>
      </c>
      <c r="B18" s="5" t="s">
        <v>25</v>
      </c>
      <c r="C18" s="24" t="s">
        <v>72</v>
      </c>
      <c r="D18" s="5">
        <v>483</v>
      </c>
      <c r="E18" s="19">
        <v>62</v>
      </c>
      <c r="F18" s="19">
        <v>54.59</v>
      </c>
      <c r="G18" s="19">
        <v>73.06</v>
      </c>
      <c r="H18" s="19">
        <v>3.1</v>
      </c>
      <c r="I18" s="19">
        <v>70.459999999999994</v>
      </c>
      <c r="J18" s="20">
        <v>46308</v>
      </c>
      <c r="K18" s="20">
        <v>45849</v>
      </c>
      <c r="L18" s="5" t="s">
        <v>27</v>
      </c>
      <c r="M18" s="21" t="s">
        <v>36</v>
      </c>
      <c r="N18" s="22">
        <f t="shared" ca="1" si="3"/>
        <v>0.05</v>
      </c>
      <c r="O18" s="23">
        <f t="shared" ca="1" si="4"/>
        <v>69.406999999999996</v>
      </c>
      <c r="P18" s="19">
        <f>(inventory_data!$D18-inventory_data!$E18)</f>
        <v>421</v>
      </c>
      <c r="Q18" s="36">
        <f t="shared" si="0"/>
        <v>7775.87</v>
      </c>
      <c r="R18" s="5">
        <f t="shared" ca="1" si="1"/>
        <v>341</v>
      </c>
      <c r="S18" s="5" t="str">
        <f t="shared" ca="1" si="2"/>
        <v>Far Expiry</v>
      </c>
    </row>
    <row r="19" spans="1:19" x14ac:dyDescent="0.3">
      <c r="A19" s="6" t="s">
        <v>73</v>
      </c>
      <c r="B19" s="6" t="s">
        <v>49</v>
      </c>
      <c r="C19" s="25" t="s">
        <v>74</v>
      </c>
      <c r="D19" s="6">
        <v>369</v>
      </c>
      <c r="E19" s="15">
        <v>70</v>
      </c>
      <c r="F19" s="15">
        <v>146.13</v>
      </c>
      <c r="G19" s="15">
        <v>210.75</v>
      </c>
      <c r="H19" s="15">
        <v>5.18</v>
      </c>
      <c r="I19" s="15">
        <v>209.63</v>
      </c>
      <c r="J19" s="16">
        <v>46297</v>
      </c>
      <c r="K19" s="16">
        <v>45795</v>
      </c>
      <c r="L19" s="6" t="s">
        <v>51</v>
      </c>
      <c r="M19" s="1" t="s">
        <v>36</v>
      </c>
      <c r="N19" s="17">
        <f t="shared" ca="1" si="3"/>
        <v>0.05</v>
      </c>
      <c r="O19" s="18">
        <f t="shared" ca="1" si="4"/>
        <v>200.21249999999998</v>
      </c>
      <c r="P19" s="15">
        <f>(inventory_data!$D19-inventory_data!$E19)</f>
        <v>299</v>
      </c>
      <c r="Q19" s="36">
        <f t="shared" si="0"/>
        <v>19321.38</v>
      </c>
      <c r="R19" s="5">
        <f t="shared" ca="1" si="1"/>
        <v>330</v>
      </c>
      <c r="S19" s="5" t="str">
        <f t="shared" ca="1" si="2"/>
        <v>Far Expiry</v>
      </c>
    </row>
    <row r="20" spans="1:19" x14ac:dyDescent="0.3">
      <c r="A20" s="5" t="s">
        <v>75</v>
      </c>
      <c r="B20" s="5" t="s">
        <v>43</v>
      </c>
      <c r="C20" s="47" t="s">
        <v>76</v>
      </c>
      <c r="D20" s="5">
        <v>215</v>
      </c>
      <c r="E20" s="19">
        <v>128</v>
      </c>
      <c r="F20" s="19">
        <v>20.8</v>
      </c>
      <c r="G20" s="19">
        <v>30.73</v>
      </c>
      <c r="H20" s="19">
        <v>5.0199999999999996</v>
      </c>
      <c r="I20" s="19">
        <v>29.43</v>
      </c>
      <c r="J20" s="20">
        <v>46064</v>
      </c>
      <c r="K20" s="20">
        <v>45799</v>
      </c>
      <c r="L20" s="5" t="s">
        <v>45</v>
      </c>
      <c r="M20" s="21" t="s">
        <v>28</v>
      </c>
      <c r="N20" s="22">
        <f t="shared" ca="1" si="3"/>
        <v>0.2</v>
      </c>
      <c r="O20" s="23">
        <f t="shared" ca="1" si="4"/>
        <v>24.584000000000003</v>
      </c>
      <c r="P20" s="19">
        <f>(inventory_data!$D20-inventory_data!$E20)</f>
        <v>87</v>
      </c>
      <c r="Q20" s="36">
        <f t="shared" si="0"/>
        <v>863.91</v>
      </c>
      <c r="R20" s="5">
        <f t="shared" ca="1" si="1"/>
        <v>97</v>
      </c>
      <c r="S20" s="5" t="str">
        <f t="shared" ca="1" si="2"/>
        <v>Far Expiry</v>
      </c>
    </row>
    <row r="21" spans="1:19" x14ac:dyDescent="0.3">
      <c r="A21" s="6" t="s">
        <v>77</v>
      </c>
      <c r="B21" s="6" t="s">
        <v>20</v>
      </c>
      <c r="C21" s="25" t="s">
        <v>78</v>
      </c>
      <c r="D21" s="6">
        <v>459</v>
      </c>
      <c r="E21" s="15">
        <v>71</v>
      </c>
      <c r="F21" s="15">
        <v>158.04</v>
      </c>
      <c r="G21" s="15">
        <v>236.93</v>
      </c>
      <c r="H21" s="15">
        <v>5.75</v>
      </c>
      <c r="I21" s="15">
        <v>234.52</v>
      </c>
      <c r="J21" s="16">
        <v>45914</v>
      </c>
      <c r="K21" s="16">
        <v>45800</v>
      </c>
      <c r="L21" s="6" t="s">
        <v>22</v>
      </c>
      <c r="M21" s="1" t="s">
        <v>36</v>
      </c>
      <c r="N21" s="17">
        <f t="shared" ca="1" si="3"/>
        <v>0.4</v>
      </c>
      <c r="O21" s="18">
        <f t="shared" ca="1" si="4"/>
        <v>142.15799999999999</v>
      </c>
      <c r="P21" s="15">
        <f>(inventory_data!$D21-inventory_data!$E21)</f>
        <v>388</v>
      </c>
      <c r="Q21" s="36">
        <f t="shared" si="0"/>
        <v>30609.320000000007</v>
      </c>
      <c r="R21" s="5">
        <f t="shared" ca="1" si="1"/>
        <v>-53</v>
      </c>
      <c r="S21" s="5" t="str">
        <f t="shared" ca="1" si="2"/>
        <v>Near Expiry</v>
      </c>
    </row>
    <row r="22" spans="1:19" x14ac:dyDescent="0.3">
      <c r="A22" s="5" t="s">
        <v>79</v>
      </c>
      <c r="B22" s="5" t="s">
        <v>25</v>
      </c>
      <c r="C22" s="24" t="s">
        <v>80</v>
      </c>
      <c r="D22" s="5">
        <v>374</v>
      </c>
      <c r="E22" s="19">
        <v>237</v>
      </c>
      <c r="F22" s="19">
        <v>166.81</v>
      </c>
      <c r="G22" s="19">
        <v>202.5</v>
      </c>
      <c r="H22" s="19">
        <v>5.37</v>
      </c>
      <c r="I22" s="19">
        <v>199.97</v>
      </c>
      <c r="J22" s="20">
        <v>46669</v>
      </c>
      <c r="K22" s="20">
        <v>45794</v>
      </c>
      <c r="L22" s="5" t="s">
        <v>27</v>
      </c>
      <c r="M22" s="21" t="s">
        <v>28</v>
      </c>
      <c r="N22" s="22">
        <f t="shared" ca="1" si="3"/>
        <v>0.4</v>
      </c>
      <c r="O22" s="23">
        <f t="shared" ca="1" si="4"/>
        <v>121.5</v>
      </c>
      <c r="P22" s="19">
        <f>(inventory_data!$D22-inventory_data!$E22)</f>
        <v>137</v>
      </c>
      <c r="Q22" s="36">
        <f t="shared" si="0"/>
        <v>4889.53</v>
      </c>
      <c r="R22" s="5">
        <f t="shared" ca="1" si="1"/>
        <v>702</v>
      </c>
      <c r="S22" s="5" t="str">
        <f t="shared" ca="1" si="2"/>
        <v>Far Expiry</v>
      </c>
    </row>
    <row r="23" spans="1:19" x14ac:dyDescent="0.3">
      <c r="A23" s="6" t="s">
        <v>81</v>
      </c>
      <c r="B23" s="6" t="s">
        <v>43</v>
      </c>
      <c r="C23" s="2" t="s">
        <v>82</v>
      </c>
      <c r="D23" s="6">
        <v>299</v>
      </c>
      <c r="E23" s="15">
        <v>162</v>
      </c>
      <c r="F23" s="15">
        <v>176.99</v>
      </c>
      <c r="G23" s="15">
        <v>224.07</v>
      </c>
      <c r="H23" s="15">
        <v>3.69</v>
      </c>
      <c r="I23" s="15">
        <v>221.51</v>
      </c>
      <c r="J23" s="16">
        <v>45930</v>
      </c>
      <c r="K23" s="16">
        <v>45750</v>
      </c>
      <c r="L23" s="6" t="s">
        <v>45</v>
      </c>
      <c r="M23" s="1" t="s">
        <v>28</v>
      </c>
      <c r="N23" s="17">
        <f t="shared" ca="1" si="3"/>
        <v>0.4</v>
      </c>
      <c r="O23" s="18">
        <f t="shared" ca="1" si="4"/>
        <v>134.44199999999998</v>
      </c>
      <c r="P23" s="15">
        <f>(inventory_data!$D23-inventory_data!$E23)</f>
        <v>137</v>
      </c>
      <c r="Q23" s="36">
        <f t="shared" si="0"/>
        <v>6449.9599999999982</v>
      </c>
      <c r="R23" s="5">
        <f t="shared" ca="1" si="1"/>
        <v>-37</v>
      </c>
      <c r="S23" s="5" t="str">
        <f t="shared" ca="1" si="2"/>
        <v>Near Expiry</v>
      </c>
    </row>
    <row r="24" spans="1:19" x14ac:dyDescent="0.3">
      <c r="A24" s="5" t="s">
        <v>83</v>
      </c>
      <c r="B24" s="5" t="s">
        <v>25</v>
      </c>
      <c r="C24" s="5" t="s">
        <v>26</v>
      </c>
      <c r="D24" s="5">
        <v>349</v>
      </c>
      <c r="E24" s="19">
        <v>111</v>
      </c>
      <c r="F24" s="19">
        <v>70.599999999999994</v>
      </c>
      <c r="G24" s="19">
        <v>90.59</v>
      </c>
      <c r="H24" s="19">
        <v>4.7300000000000004</v>
      </c>
      <c r="I24" s="19">
        <v>87.61</v>
      </c>
      <c r="J24" s="20">
        <v>46748</v>
      </c>
      <c r="K24" s="20">
        <v>45836</v>
      </c>
      <c r="L24" s="5" t="s">
        <v>27</v>
      </c>
      <c r="M24" s="21" t="s">
        <v>28</v>
      </c>
      <c r="N24" s="22">
        <f t="shared" ca="1" si="3"/>
        <v>0.2</v>
      </c>
      <c r="O24" s="23">
        <f t="shared" ca="1" si="4"/>
        <v>72.472000000000008</v>
      </c>
      <c r="P24" s="19">
        <f>(inventory_data!$D24-inventory_data!$E24)</f>
        <v>238</v>
      </c>
      <c r="Q24" s="36">
        <f t="shared" si="0"/>
        <v>4757.6200000000026</v>
      </c>
      <c r="R24" s="5">
        <f t="shared" ca="1" si="1"/>
        <v>781</v>
      </c>
      <c r="S24" s="5" t="str">
        <f t="shared" ca="1" si="2"/>
        <v>Far Expiry</v>
      </c>
    </row>
    <row r="25" spans="1:19" x14ac:dyDescent="0.3">
      <c r="A25" s="6" t="s">
        <v>84</v>
      </c>
      <c r="B25" s="6" t="s">
        <v>55</v>
      </c>
      <c r="C25" s="6" t="s">
        <v>85</v>
      </c>
      <c r="D25" s="6">
        <v>425</v>
      </c>
      <c r="E25" s="15">
        <v>204</v>
      </c>
      <c r="F25" s="15">
        <v>19.420000000000002</v>
      </c>
      <c r="G25" s="15">
        <v>26.61</v>
      </c>
      <c r="H25" s="15">
        <v>6.27</v>
      </c>
      <c r="I25" s="15">
        <v>25.41</v>
      </c>
      <c r="J25" s="16">
        <v>46679</v>
      </c>
      <c r="K25" s="16">
        <v>45770</v>
      </c>
      <c r="L25" s="6" t="s">
        <v>86</v>
      </c>
      <c r="M25" s="1" t="s">
        <v>28</v>
      </c>
      <c r="N25" s="17">
        <f t="shared" ca="1" si="3"/>
        <v>0.4</v>
      </c>
      <c r="O25" s="18">
        <f t="shared" ca="1" si="4"/>
        <v>15.965999999999999</v>
      </c>
      <c r="P25" s="15">
        <f>(inventory_data!$D25-inventory_data!$E25)</f>
        <v>221</v>
      </c>
      <c r="Q25" s="36">
        <f t="shared" si="0"/>
        <v>1588.9899999999996</v>
      </c>
      <c r="R25" s="5">
        <f t="shared" ca="1" si="1"/>
        <v>712</v>
      </c>
      <c r="S25" s="5" t="str">
        <f t="shared" ca="1" si="2"/>
        <v>Far Expiry</v>
      </c>
    </row>
    <row r="26" spans="1:19" x14ac:dyDescent="0.3">
      <c r="A26" s="5" t="s">
        <v>87</v>
      </c>
      <c r="B26" s="5" t="s">
        <v>30</v>
      </c>
      <c r="C26" s="5" t="s">
        <v>88</v>
      </c>
      <c r="D26" s="5">
        <v>465</v>
      </c>
      <c r="E26" s="19">
        <v>318</v>
      </c>
      <c r="F26" s="19">
        <v>160.44999999999999</v>
      </c>
      <c r="G26" s="19">
        <v>199.97</v>
      </c>
      <c r="H26" s="19">
        <v>4.7300000000000004</v>
      </c>
      <c r="I26" s="19">
        <v>199.81</v>
      </c>
      <c r="J26" s="20">
        <v>46434</v>
      </c>
      <c r="K26" s="20">
        <v>45858</v>
      </c>
      <c r="L26" s="5" t="s">
        <v>32</v>
      </c>
      <c r="M26" s="21" t="s">
        <v>28</v>
      </c>
      <c r="N26" s="22">
        <f t="shared" ca="1" si="3"/>
        <v>0.4</v>
      </c>
      <c r="O26" s="23">
        <f t="shared" ca="1" si="4"/>
        <v>119.982</v>
      </c>
      <c r="P26" s="19">
        <f>(inventory_data!$D26-inventory_data!$E26)</f>
        <v>147</v>
      </c>
      <c r="Q26" s="36">
        <f t="shared" si="0"/>
        <v>5809.4400000000014</v>
      </c>
      <c r="R26" s="5">
        <f t="shared" ca="1" si="1"/>
        <v>467</v>
      </c>
      <c r="S26" s="5" t="str">
        <f t="shared" ca="1" si="2"/>
        <v>Far Expiry</v>
      </c>
    </row>
    <row r="27" spans="1:19" x14ac:dyDescent="0.3">
      <c r="A27" s="6" t="s">
        <v>89</v>
      </c>
      <c r="B27" s="6" t="s">
        <v>25</v>
      </c>
      <c r="C27" s="6" t="s">
        <v>90</v>
      </c>
      <c r="D27" s="6">
        <v>393</v>
      </c>
      <c r="E27" s="15">
        <v>99</v>
      </c>
      <c r="F27" s="15">
        <v>148.53</v>
      </c>
      <c r="G27" s="15">
        <v>203.8</v>
      </c>
      <c r="H27" s="15">
        <v>2.5</v>
      </c>
      <c r="I27" s="15">
        <v>201.9</v>
      </c>
      <c r="J27" s="16">
        <v>46540</v>
      </c>
      <c r="K27" s="16">
        <v>45835</v>
      </c>
      <c r="L27" s="6" t="s">
        <v>27</v>
      </c>
      <c r="M27" s="1" t="s">
        <v>28</v>
      </c>
      <c r="N27" s="17">
        <f t="shared" ca="1" si="3"/>
        <v>0.05</v>
      </c>
      <c r="O27" s="18">
        <f t="shared" ca="1" si="4"/>
        <v>193.61</v>
      </c>
      <c r="P27" s="15">
        <f>(inventory_data!$D27-inventory_data!$E27)</f>
        <v>294</v>
      </c>
      <c r="Q27" s="36">
        <f t="shared" si="0"/>
        <v>16249.380000000003</v>
      </c>
      <c r="R27" s="5">
        <f t="shared" ca="1" si="1"/>
        <v>573</v>
      </c>
      <c r="S27" s="5" t="str">
        <f t="shared" ca="1" si="2"/>
        <v>Far Expiry</v>
      </c>
    </row>
    <row r="28" spans="1:19" x14ac:dyDescent="0.3">
      <c r="A28" s="5" t="s">
        <v>91</v>
      </c>
      <c r="B28" s="5" t="s">
        <v>49</v>
      </c>
      <c r="C28" s="5" t="s">
        <v>50</v>
      </c>
      <c r="D28" s="5">
        <v>220</v>
      </c>
      <c r="E28" s="19">
        <v>155</v>
      </c>
      <c r="F28" s="19">
        <v>109.23</v>
      </c>
      <c r="G28" s="19">
        <v>161.16</v>
      </c>
      <c r="H28" s="19">
        <v>5.23</v>
      </c>
      <c r="I28" s="19">
        <v>159.59</v>
      </c>
      <c r="J28" s="20">
        <v>45993</v>
      </c>
      <c r="K28" s="20">
        <v>45787</v>
      </c>
      <c r="L28" s="5" t="s">
        <v>51</v>
      </c>
      <c r="M28" s="21" t="s">
        <v>28</v>
      </c>
      <c r="N28" s="22">
        <f t="shared" ca="1" si="3"/>
        <v>0.4</v>
      </c>
      <c r="O28" s="23">
        <f t="shared" ca="1" si="4"/>
        <v>96.695999999999998</v>
      </c>
      <c r="P28" s="19">
        <f>(inventory_data!$D28-inventory_data!$E28)</f>
        <v>65</v>
      </c>
      <c r="Q28" s="36">
        <f t="shared" si="0"/>
        <v>3375.4499999999994</v>
      </c>
      <c r="R28" s="5">
        <f t="shared" ca="1" si="1"/>
        <v>26</v>
      </c>
      <c r="S28" s="5" t="str">
        <f t="shared" ca="1" si="2"/>
        <v>Near Expiry</v>
      </c>
    </row>
    <row r="29" spans="1:19" x14ac:dyDescent="0.3">
      <c r="A29" s="6" t="s">
        <v>92</v>
      </c>
      <c r="B29" s="6" t="s">
        <v>55</v>
      </c>
      <c r="C29" s="6" t="s">
        <v>93</v>
      </c>
      <c r="D29" s="6">
        <v>150</v>
      </c>
      <c r="E29" s="15">
        <v>131</v>
      </c>
      <c r="F29" s="15">
        <v>78.37</v>
      </c>
      <c r="G29" s="15">
        <v>112.58</v>
      </c>
      <c r="H29" s="15">
        <v>9.7200000000000006</v>
      </c>
      <c r="I29" s="15">
        <v>106.99</v>
      </c>
      <c r="J29" s="16">
        <v>46422</v>
      </c>
      <c r="K29" s="16">
        <v>45770</v>
      </c>
      <c r="L29" s="6" t="s">
        <v>86</v>
      </c>
      <c r="M29" s="1" t="s">
        <v>28</v>
      </c>
      <c r="N29" s="17">
        <f t="shared" ca="1" si="3"/>
        <v>0.2</v>
      </c>
      <c r="O29" s="18">
        <f t="shared" ca="1" si="4"/>
        <v>90.064000000000007</v>
      </c>
      <c r="P29" s="15">
        <f>(inventory_data!$D29-inventory_data!$E29)</f>
        <v>19</v>
      </c>
      <c r="Q29" s="36">
        <f t="shared" si="0"/>
        <v>649.9899999999999</v>
      </c>
      <c r="R29" s="5">
        <f t="shared" ca="1" si="1"/>
        <v>455</v>
      </c>
      <c r="S29" s="5" t="str">
        <f t="shared" ca="1" si="2"/>
        <v>Far Expiry</v>
      </c>
    </row>
    <row r="30" spans="1:19" x14ac:dyDescent="0.3">
      <c r="A30" s="5" t="s">
        <v>94</v>
      </c>
      <c r="B30" s="5" t="s">
        <v>38</v>
      </c>
      <c r="C30" s="5" t="s">
        <v>53</v>
      </c>
      <c r="D30" s="5">
        <v>355</v>
      </c>
      <c r="E30" s="19">
        <v>225</v>
      </c>
      <c r="F30" s="19">
        <v>65.540000000000006</v>
      </c>
      <c r="G30" s="19">
        <v>82.3</v>
      </c>
      <c r="H30" s="19">
        <v>4.5</v>
      </c>
      <c r="I30" s="19">
        <v>79.39</v>
      </c>
      <c r="J30" s="20">
        <v>45899</v>
      </c>
      <c r="K30" s="20">
        <v>45751</v>
      </c>
      <c r="L30" s="5" t="s">
        <v>32</v>
      </c>
      <c r="M30" s="21" t="s">
        <v>28</v>
      </c>
      <c r="N30" s="22">
        <f t="shared" ca="1" si="3"/>
        <v>0.4</v>
      </c>
      <c r="O30" s="23">
        <f t="shared" ca="1" si="4"/>
        <v>49.379999999999995</v>
      </c>
      <c r="P30" s="19">
        <f>(inventory_data!$D30-inventory_data!$E30)</f>
        <v>130</v>
      </c>
      <c r="Q30" s="36">
        <f t="shared" si="0"/>
        <v>2178.7999999999988</v>
      </c>
      <c r="R30" s="5">
        <f t="shared" ca="1" si="1"/>
        <v>-68</v>
      </c>
      <c r="S30" s="5" t="str">
        <f t="shared" ca="1" si="2"/>
        <v>Near Expiry</v>
      </c>
    </row>
    <row r="31" spans="1:19" x14ac:dyDescent="0.3">
      <c r="A31" s="6" t="s">
        <v>95</v>
      </c>
      <c r="B31" s="6" t="s">
        <v>20</v>
      </c>
      <c r="C31" s="6" t="s">
        <v>34</v>
      </c>
      <c r="D31" s="6">
        <v>491</v>
      </c>
      <c r="E31" s="15">
        <v>364</v>
      </c>
      <c r="F31" s="15">
        <v>97.05</v>
      </c>
      <c r="G31" s="15">
        <v>144.04</v>
      </c>
      <c r="H31" s="15">
        <v>4.26</v>
      </c>
      <c r="I31" s="15">
        <v>142.84</v>
      </c>
      <c r="J31" s="16">
        <v>46105</v>
      </c>
      <c r="K31" s="16">
        <v>45850</v>
      </c>
      <c r="L31" s="6" t="s">
        <v>35</v>
      </c>
      <c r="M31" s="1" t="s">
        <v>28</v>
      </c>
      <c r="N31" s="17">
        <f t="shared" ca="1" si="3"/>
        <v>0.4</v>
      </c>
      <c r="O31" s="18">
        <f t="shared" ca="1" si="4"/>
        <v>86.423999999999992</v>
      </c>
      <c r="P31" s="15">
        <f>(inventory_data!$D31-inventory_data!$E31)</f>
        <v>127</v>
      </c>
      <c r="Q31" s="36">
        <f t="shared" si="0"/>
        <v>5967.73</v>
      </c>
      <c r="R31" s="5">
        <f t="shared" ca="1" si="1"/>
        <v>138</v>
      </c>
      <c r="S31" s="5" t="str">
        <f t="shared" ca="1" si="2"/>
        <v>Far Expiry</v>
      </c>
    </row>
    <row r="32" spans="1:19" x14ac:dyDescent="0.3">
      <c r="A32" s="5" t="s">
        <v>96</v>
      </c>
      <c r="B32" s="5" t="s">
        <v>25</v>
      </c>
      <c r="C32" s="5" t="s">
        <v>90</v>
      </c>
      <c r="D32" s="5">
        <v>202</v>
      </c>
      <c r="E32" s="19">
        <v>135</v>
      </c>
      <c r="F32" s="19">
        <v>188.69</v>
      </c>
      <c r="G32" s="19">
        <v>270.08999999999997</v>
      </c>
      <c r="H32" s="19">
        <v>4.5199999999999996</v>
      </c>
      <c r="I32" s="19">
        <v>267.18</v>
      </c>
      <c r="J32" s="20">
        <v>46316</v>
      </c>
      <c r="K32" s="20">
        <v>45825</v>
      </c>
      <c r="L32" s="5" t="s">
        <v>27</v>
      </c>
      <c r="M32" s="21" t="s">
        <v>28</v>
      </c>
      <c r="N32" s="22">
        <f t="shared" ca="1" si="3"/>
        <v>0.2</v>
      </c>
      <c r="O32" s="23">
        <f t="shared" ca="1" si="4"/>
        <v>216.072</v>
      </c>
      <c r="P32" s="19">
        <f>(inventory_data!$D32-inventory_data!$E32)</f>
        <v>67</v>
      </c>
      <c r="Q32" s="36">
        <f t="shared" si="0"/>
        <v>5453.7999999999984</v>
      </c>
      <c r="R32" s="5">
        <f t="shared" ca="1" si="1"/>
        <v>349</v>
      </c>
      <c r="S32" s="5" t="str">
        <f t="shared" ca="1" si="2"/>
        <v>Far Expiry</v>
      </c>
    </row>
    <row r="33" spans="1:19" x14ac:dyDescent="0.3">
      <c r="A33" s="6" t="s">
        <v>97</v>
      </c>
      <c r="B33" s="6" t="s">
        <v>49</v>
      </c>
      <c r="C33" s="6" t="s">
        <v>98</v>
      </c>
      <c r="D33" s="6">
        <v>479</v>
      </c>
      <c r="E33" s="15">
        <v>97</v>
      </c>
      <c r="F33" s="15">
        <v>190.82</v>
      </c>
      <c r="G33" s="15">
        <v>279.57</v>
      </c>
      <c r="H33" s="15">
        <v>2.39</v>
      </c>
      <c r="I33" s="15">
        <v>278.79000000000002</v>
      </c>
      <c r="J33" s="16">
        <v>46621</v>
      </c>
      <c r="K33" s="16">
        <v>45834</v>
      </c>
      <c r="L33" s="6" t="s">
        <v>32</v>
      </c>
      <c r="M33" s="1" t="s">
        <v>28</v>
      </c>
      <c r="N33" s="17">
        <f t="shared" ca="1" si="3"/>
        <v>0.05</v>
      </c>
      <c r="O33" s="18">
        <f t="shared" ca="1" si="4"/>
        <v>265.5915</v>
      </c>
      <c r="P33" s="15">
        <f>(inventory_data!$D33-inventory_data!$E33)</f>
        <v>382</v>
      </c>
      <c r="Q33" s="36">
        <f t="shared" si="0"/>
        <v>33902.5</v>
      </c>
      <c r="R33" s="5">
        <f t="shared" ca="1" si="1"/>
        <v>654</v>
      </c>
      <c r="S33" s="5" t="str">
        <f t="shared" ca="1" si="2"/>
        <v>Far Expiry</v>
      </c>
    </row>
    <row r="34" spans="1:19" x14ac:dyDescent="0.3">
      <c r="A34" s="5" t="s">
        <v>99</v>
      </c>
      <c r="B34" s="5" t="s">
        <v>49</v>
      </c>
      <c r="C34" s="5" t="s">
        <v>98</v>
      </c>
      <c r="D34" s="5">
        <v>227</v>
      </c>
      <c r="E34" s="19">
        <v>217</v>
      </c>
      <c r="F34" s="19">
        <v>112.56</v>
      </c>
      <c r="G34" s="19">
        <v>160.26</v>
      </c>
      <c r="H34" s="19">
        <v>5.99</v>
      </c>
      <c r="I34" s="19">
        <v>156.24</v>
      </c>
      <c r="J34" s="20">
        <v>45884</v>
      </c>
      <c r="K34" s="20">
        <v>45757</v>
      </c>
      <c r="L34" s="5" t="s">
        <v>32</v>
      </c>
      <c r="M34" s="21" t="s">
        <v>28</v>
      </c>
      <c r="N34" s="22">
        <f t="shared" ref="N34:N65" ca="1" si="5">IF(OR(E34&gt;200,J34&lt;=TODAY()+30),0.4,
   IF(OR(AND(E34&gt;=100,E34&lt;=200),J34&lt;=TODAY()+90),0.2,0.05))</f>
        <v>0.4</v>
      </c>
      <c r="O34" s="23">
        <f t="shared" ref="O34:O65" ca="1" si="6">G34*(1-N34)</f>
        <v>96.155999999999992</v>
      </c>
      <c r="P34" s="19">
        <f>(inventory_data!$D34-inventory_data!$E34)</f>
        <v>10</v>
      </c>
      <c r="Q34" s="36">
        <f t="shared" ref="Q34:Q65" si="7">(G34-F34)*P34</f>
        <v>476.99999999999989</v>
      </c>
      <c r="R34" s="5">
        <f t="shared" ca="1" si="1"/>
        <v>-83</v>
      </c>
      <c r="S34" s="5" t="str">
        <f t="shared" ca="1" si="2"/>
        <v>Near Expiry</v>
      </c>
    </row>
    <row r="35" spans="1:19" x14ac:dyDescent="0.3">
      <c r="A35" s="6" t="s">
        <v>100</v>
      </c>
      <c r="B35" s="6" t="s">
        <v>38</v>
      </c>
      <c r="C35" s="6" t="s">
        <v>39</v>
      </c>
      <c r="D35" s="6">
        <v>338</v>
      </c>
      <c r="E35" s="15">
        <v>279</v>
      </c>
      <c r="F35" s="15">
        <v>64.22</v>
      </c>
      <c r="G35" s="15">
        <v>89.88</v>
      </c>
      <c r="H35" s="15">
        <v>5.44</v>
      </c>
      <c r="I35" s="15">
        <v>87.6</v>
      </c>
      <c r="J35" s="16">
        <v>45918</v>
      </c>
      <c r="K35" s="16">
        <v>45753</v>
      </c>
      <c r="L35" s="6" t="s">
        <v>40</v>
      </c>
      <c r="M35" s="1" t="s">
        <v>28</v>
      </c>
      <c r="N35" s="17">
        <f t="shared" ca="1" si="5"/>
        <v>0.4</v>
      </c>
      <c r="O35" s="18">
        <f t="shared" ca="1" si="6"/>
        <v>53.927999999999997</v>
      </c>
      <c r="P35" s="15">
        <f>(inventory_data!$D35-inventory_data!$E35)</f>
        <v>59</v>
      </c>
      <c r="Q35" s="36">
        <f t="shared" si="7"/>
        <v>1513.9399999999998</v>
      </c>
      <c r="R35" s="5">
        <f t="shared" ca="1" si="1"/>
        <v>-49</v>
      </c>
      <c r="S35" s="5" t="str">
        <f t="shared" ca="1" si="2"/>
        <v>Near Expiry</v>
      </c>
    </row>
    <row r="36" spans="1:19" x14ac:dyDescent="0.3">
      <c r="A36" s="5" t="s">
        <v>101</v>
      </c>
      <c r="B36" s="5" t="s">
        <v>55</v>
      </c>
      <c r="C36" s="5" t="s">
        <v>85</v>
      </c>
      <c r="D36" s="5">
        <v>434</v>
      </c>
      <c r="E36" s="19">
        <v>341</v>
      </c>
      <c r="F36" s="19">
        <v>160.30000000000001</v>
      </c>
      <c r="G36" s="19">
        <v>226.21</v>
      </c>
      <c r="H36" s="19">
        <v>1.41</v>
      </c>
      <c r="I36" s="19">
        <v>225.33</v>
      </c>
      <c r="J36" s="20">
        <v>46349</v>
      </c>
      <c r="K36" s="20">
        <v>45777</v>
      </c>
      <c r="L36" s="5" t="s">
        <v>86</v>
      </c>
      <c r="M36" s="21" t="s">
        <v>28</v>
      </c>
      <c r="N36" s="22">
        <f t="shared" ca="1" si="5"/>
        <v>0.4</v>
      </c>
      <c r="O36" s="23">
        <f t="shared" ca="1" si="6"/>
        <v>135.726</v>
      </c>
      <c r="P36" s="19">
        <f>(inventory_data!$D36-inventory_data!$E36)</f>
        <v>93</v>
      </c>
      <c r="Q36" s="36">
        <f t="shared" si="7"/>
        <v>6129.63</v>
      </c>
      <c r="R36" s="5">
        <f t="shared" ca="1" si="1"/>
        <v>382</v>
      </c>
      <c r="S36" s="5" t="str">
        <f t="shared" ca="1" si="2"/>
        <v>Far Expiry</v>
      </c>
    </row>
    <row r="37" spans="1:19" x14ac:dyDescent="0.3">
      <c r="A37" s="6" t="s">
        <v>102</v>
      </c>
      <c r="B37" s="6" t="s">
        <v>49</v>
      </c>
      <c r="C37" s="6" t="s">
        <v>103</v>
      </c>
      <c r="D37" s="6">
        <v>474</v>
      </c>
      <c r="E37" s="15">
        <v>265</v>
      </c>
      <c r="F37" s="15">
        <v>11.28</v>
      </c>
      <c r="G37" s="15">
        <v>15.05</v>
      </c>
      <c r="H37" s="15">
        <v>8.48</v>
      </c>
      <c r="I37" s="15">
        <v>7.63</v>
      </c>
      <c r="J37" s="16">
        <v>46228</v>
      </c>
      <c r="K37" s="16">
        <v>45790</v>
      </c>
      <c r="L37" s="6" t="s">
        <v>32</v>
      </c>
      <c r="M37" s="1" t="s">
        <v>28</v>
      </c>
      <c r="N37" s="17">
        <f t="shared" ca="1" si="5"/>
        <v>0.4</v>
      </c>
      <c r="O37" s="18">
        <f t="shared" ca="1" si="6"/>
        <v>9.0299999999999994</v>
      </c>
      <c r="P37" s="15">
        <f>(inventory_data!$D37-inventory_data!$E37)</f>
        <v>209</v>
      </c>
      <c r="Q37" s="36">
        <f t="shared" si="7"/>
        <v>787.93000000000029</v>
      </c>
      <c r="R37" s="5">
        <f t="shared" ca="1" si="1"/>
        <v>261</v>
      </c>
      <c r="S37" s="5" t="str">
        <f t="shared" ca="1" si="2"/>
        <v>Far Expiry</v>
      </c>
    </row>
    <row r="38" spans="1:19" x14ac:dyDescent="0.3">
      <c r="A38" s="5" t="s">
        <v>104</v>
      </c>
      <c r="B38" s="5" t="s">
        <v>49</v>
      </c>
      <c r="C38" s="5" t="s">
        <v>50</v>
      </c>
      <c r="D38" s="5">
        <v>448</v>
      </c>
      <c r="E38" s="19">
        <v>17</v>
      </c>
      <c r="F38" s="19">
        <v>92.83</v>
      </c>
      <c r="G38" s="19">
        <v>118.25</v>
      </c>
      <c r="H38" s="19">
        <v>1.28</v>
      </c>
      <c r="I38" s="19">
        <v>117.86</v>
      </c>
      <c r="J38" s="20">
        <v>46184</v>
      </c>
      <c r="K38" s="20">
        <v>45778</v>
      </c>
      <c r="L38" s="5" t="s">
        <v>51</v>
      </c>
      <c r="M38" s="21" t="s">
        <v>36</v>
      </c>
      <c r="N38" s="22">
        <f t="shared" ca="1" si="5"/>
        <v>0.05</v>
      </c>
      <c r="O38" s="23">
        <f t="shared" ca="1" si="6"/>
        <v>112.33749999999999</v>
      </c>
      <c r="P38" s="19">
        <f>(inventory_data!$D38-inventory_data!$E38)</f>
        <v>431</v>
      </c>
      <c r="Q38" s="36">
        <f t="shared" si="7"/>
        <v>10956.02</v>
      </c>
      <c r="R38" s="5">
        <f t="shared" ca="1" si="1"/>
        <v>217</v>
      </c>
      <c r="S38" s="5" t="str">
        <f t="shared" ca="1" si="2"/>
        <v>Far Expiry</v>
      </c>
    </row>
    <row r="39" spans="1:19" x14ac:dyDescent="0.3">
      <c r="A39" s="6" t="s">
        <v>105</v>
      </c>
      <c r="B39" s="6" t="s">
        <v>20</v>
      </c>
      <c r="C39" s="6" t="s">
        <v>106</v>
      </c>
      <c r="D39" s="6">
        <v>435</v>
      </c>
      <c r="E39" s="15">
        <v>217</v>
      </c>
      <c r="F39" s="15">
        <v>171.94</v>
      </c>
      <c r="G39" s="15">
        <v>233.98</v>
      </c>
      <c r="H39" s="15">
        <v>2.08</v>
      </c>
      <c r="I39" s="15">
        <v>232.28</v>
      </c>
      <c r="J39" s="16">
        <v>45872</v>
      </c>
      <c r="K39" s="16">
        <v>45854</v>
      </c>
      <c r="L39" s="6" t="s">
        <v>68</v>
      </c>
      <c r="M39" s="1" t="s">
        <v>28</v>
      </c>
      <c r="N39" s="17">
        <f t="shared" ca="1" si="5"/>
        <v>0.4</v>
      </c>
      <c r="O39" s="18">
        <f t="shared" ca="1" si="6"/>
        <v>140.38799999999998</v>
      </c>
      <c r="P39" s="15">
        <f>(inventory_data!$D39-inventory_data!$E39)</f>
        <v>218</v>
      </c>
      <c r="Q39" s="36">
        <f t="shared" si="7"/>
        <v>13524.719999999998</v>
      </c>
      <c r="R39" s="5">
        <f t="shared" ca="1" si="1"/>
        <v>-95</v>
      </c>
      <c r="S39" s="5" t="str">
        <f t="shared" ca="1" si="2"/>
        <v>Near Expiry</v>
      </c>
    </row>
    <row r="40" spans="1:19" x14ac:dyDescent="0.3">
      <c r="A40" s="5" t="s">
        <v>107</v>
      </c>
      <c r="B40" s="5" t="s">
        <v>20</v>
      </c>
      <c r="C40" s="5" t="s">
        <v>34</v>
      </c>
      <c r="D40" s="5">
        <v>73</v>
      </c>
      <c r="E40" s="19">
        <v>55</v>
      </c>
      <c r="F40" s="19">
        <v>40.51</v>
      </c>
      <c r="G40" s="19">
        <v>52.88</v>
      </c>
      <c r="H40" s="19">
        <v>8.57</v>
      </c>
      <c r="I40" s="19">
        <v>51.38</v>
      </c>
      <c r="J40" s="20">
        <v>46333</v>
      </c>
      <c r="K40" s="20">
        <v>45799</v>
      </c>
      <c r="L40" s="5" t="s">
        <v>35</v>
      </c>
      <c r="M40" s="21" t="s">
        <v>36</v>
      </c>
      <c r="N40" s="22">
        <f t="shared" ca="1" si="5"/>
        <v>0.05</v>
      </c>
      <c r="O40" s="23">
        <f t="shared" ca="1" si="6"/>
        <v>50.235999999999997</v>
      </c>
      <c r="P40" s="19">
        <f>(inventory_data!$D40-inventory_data!$E40)</f>
        <v>18</v>
      </c>
      <c r="Q40" s="36">
        <f t="shared" si="7"/>
        <v>222.66000000000008</v>
      </c>
      <c r="R40" s="5">
        <f t="shared" ca="1" si="1"/>
        <v>366</v>
      </c>
      <c r="S40" s="5" t="str">
        <f t="shared" ca="1" si="2"/>
        <v>Far Expiry</v>
      </c>
    </row>
    <row r="41" spans="1:19" x14ac:dyDescent="0.3">
      <c r="A41" s="6" t="s">
        <v>108</v>
      </c>
      <c r="B41" s="6" t="s">
        <v>25</v>
      </c>
      <c r="C41" s="6" t="s">
        <v>90</v>
      </c>
      <c r="D41" s="6">
        <v>52</v>
      </c>
      <c r="E41" s="15">
        <v>49</v>
      </c>
      <c r="F41" s="15">
        <v>63</v>
      </c>
      <c r="G41" s="15">
        <v>82.81</v>
      </c>
      <c r="H41" s="15">
        <v>9.07</v>
      </c>
      <c r="I41" s="15">
        <v>74.16</v>
      </c>
      <c r="J41" s="16">
        <v>45901</v>
      </c>
      <c r="K41" s="16">
        <v>45775</v>
      </c>
      <c r="L41" s="6" t="s">
        <v>27</v>
      </c>
      <c r="M41" s="1" t="s">
        <v>36</v>
      </c>
      <c r="N41" s="17">
        <f t="shared" ca="1" si="5"/>
        <v>0.4</v>
      </c>
      <c r="O41" s="18">
        <f t="shared" ca="1" si="6"/>
        <v>49.686</v>
      </c>
      <c r="P41" s="15">
        <f>(inventory_data!$D41-inventory_data!$E41)</f>
        <v>3</v>
      </c>
      <c r="Q41" s="36">
        <f t="shared" si="7"/>
        <v>59.430000000000007</v>
      </c>
      <c r="R41" s="5">
        <f t="shared" ca="1" si="1"/>
        <v>-66</v>
      </c>
      <c r="S41" s="5" t="str">
        <f t="shared" ca="1" si="2"/>
        <v>Near Expiry</v>
      </c>
    </row>
    <row r="42" spans="1:19" x14ac:dyDescent="0.3">
      <c r="A42" s="5" t="s">
        <v>109</v>
      </c>
      <c r="B42" s="5" t="s">
        <v>20</v>
      </c>
      <c r="C42" s="5" t="s">
        <v>106</v>
      </c>
      <c r="D42" s="5">
        <v>341</v>
      </c>
      <c r="E42" s="19">
        <v>258</v>
      </c>
      <c r="F42" s="19">
        <v>160.58000000000001</v>
      </c>
      <c r="G42" s="19">
        <v>217.41</v>
      </c>
      <c r="H42" s="19">
        <v>5.28</v>
      </c>
      <c r="I42" s="19">
        <v>214.97</v>
      </c>
      <c r="J42" s="20">
        <v>46176</v>
      </c>
      <c r="K42" s="20">
        <v>45759</v>
      </c>
      <c r="L42" s="5" t="s">
        <v>68</v>
      </c>
      <c r="M42" s="21" t="s">
        <v>28</v>
      </c>
      <c r="N42" s="22">
        <f t="shared" ca="1" si="5"/>
        <v>0.4</v>
      </c>
      <c r="O42" s="23">
        <f t="shared" ca="1" si="6"/>
        <v>130.446</v>
      </c>
      <c r="P42" s="19">
        <f>(inventory_data!$D42-inventory_data!$E42)</f>
        <v>83</v>
      </c>
      <c r="Q42" s="36">
        <f t="shared" si="7"/>
        <v>4716.8899999999985</v>
      </c>
      <c r="R42" s="5">
        <f t="shared" ca="1" si="1"/>
        <v>209</v>
      </c>
      <c r="S42" s="5" t="str">
        <f t="shared" ca="1" si="2"/>
        <v>Far Expiry</v>
      </c>
    </row>
    <row r="43" spans="1:19" x14ac:dyDescent="0.3">
      <c r="A43" s="6" t="s">
        <v>110</v>
      </c>
      <c r="B43" s="6" t="s">
        <v>38</v>
      </c>
      <c r="C43" s="6" t="s">
        <v>111</v>
      </c>
      <c r="D43" s="6">
        <v>92</v>
      </c>
      <c r="E43" s="15">
        <v>67</v>
      </c>
      <c r="F43" s="15">
        <v>33.049999999999997</v>
      </c>
      <c r="G43" s="15">
        <v>41.13</v>
      </c>
      <c r="H43" s="15">
        <v>9.19</v>
      </c>
      <c r="I43" s="15">
        <v>33.909999999999997</v>
      </c>
      <c r="J43" s="16">
        <v>46744</v>
      </c>
      <c r="K43" s="16">
        <v>45831</v>
      </c>
      <c r="L43" s="6" t="s">
        <v>32</v>
      </c>
      <c r="M43" s="1" t="s">
        <v>36</v>
      </c>
      <c r="N43" s="17">
        <f t="shared" ca="1" si="5"/>
        <v>0.05</v>
      </c>
      <c r="O43" s="18">
        <f t="shared" ca="1" si="6"/>
        <v>39.073500000000003</v>
      </c>
      <c r="P43" s="15">
        <f>(inventory_data!$D43-inventory_data!$E43)</f>
        <v>25</v>
      </c>
      <c r="Q43" s="36">
        <f t="shared" si="7"/>
        <v>202.00000000000014</v>
      </c>
      <c r="R43" s="5">
        <f t="shared" ca="1" si="1"/>
        <v>777</v>
      </c>
      <c r="S43" s="5" t="str">
        <f t="shared" ca="1" si="2"/>
        <v>Far Expiry</v>
      </c>
    </row>
    <row r="44" spans="1:19" x14ac:dyDescent="0.3">
      <c r="A44" s="5" t="s">
        <v>112</v>
      </c>
      <c r="B44" s="5" t="s">
        <v>55</v>
      </c>
      <c r="C44" s="5" t="s">
        <v>56</v>
      </c>
      <c r="D44" s="5">
        <v>402</v>
      </c>
      <c r="E44" s="19">
        <v>104</v>
      </c>
      <c r="F44" s="19">
        <v>175.74</v>
      </c>
      <c r="G44" s="19">
        <v>231.91</v>
      </c>
      <c r="H44" s="19">
        <v>7.81</v>
      </c>
      <c r="I44" s="19">
        <v>228.9</v>
      </c>
      <c r="J44" s="20">
        <v>45930</v>
      </c>
      <c r="K44" s="20">
        <v>45835</v>
      </c>
      <c r="L44" s="5" t="s">
        <v>57</v>
      </c>
      <c r="M44" s="21" t="s">
        <v>28</v>
      </c>
      <c r="N44" s="22">
        <f t="shared" ca="1" si="5"/>
        <v>0.4</v>
      </c>
      <c r="O44" s="23">
        <f t="shared" ca="1" si="6"/>
        <v>139.14599999999999</v>
      </c>
      <c r="P44" s="19">
        <f>(inventory_data!$D44-inventory_data!$E44)</f>
        <v>298</v>
      </c>
      <c r="Q44" s="36">
        <f t="shared" si="7"/>
        <v>16738.659999999996</v>
      </c>
      <c r="R44" s="5">
        <f t="shared" ca="1" si="1"/>
        <v>-37</v>
      </c>
      <c r="S44" s="5" t="str">
        <f t="shared" ca="1" si="2"/>
        <v>Near Expiry</v>
      </c>
    </row>
    <row r="45" spans="1:19" x14ac:dyDescent="0.3">
      <c r="A45" s="6" t="s">
        <v>113</v>
      </c>
      <c r="B45" s="6" t="s">
        <v>25</v>
      </c>
      <c r="C45" s="6" t="s">
        <v>90</v>
      </c>
      <c r="D45" s="6">
        <v>117</v>
      </c>
      <c r="E45" s="15">
        <v>90</v>
      </c>
      <c r="F45" s="15">
        <v>80.12</v>
      </c>
      <c r="G45" s="15">
        <v>99.83</v>
      </c>
      <c r="H45" s="15">
        <v>7.58</v>
      </c>
      <c r="I45" s="15">
        <v>99.24</v>
      </c>
      <c r="J45" s="16">
        <v>46077</v>
      </c>
      <c r="K45" s="16">
        <v>45751</v>
      </c>
      <c r="L45" s="6" t="s">
        <v>27</v>
      </c>
      <c r="M45" s="1" t="s">
        <v>28</v>
      </c>
      <c r="N45" s="17">
        <f t="shared" ca="1" si="5"/>
        <v>0.05</v>
      </c>
      <c r="O45" s="18">
        <f t="shared" ca="1" si="6"/>
        <v>94.838499999999996</v>
      </c>
      <c r="P45" s="15">
        <f>(inventory_data!$D45-inventory_data!$E45)</f>
        <v>27</v>
      </c>
      <c r="Q45" s="36">
        <f t="shared" si="7"/>
        <v>532.16999999999985</v>
      </c>
      <c r="R45" s="5">
        <f t="shared" ca="1" si="1"/>
        <v>110</v>
      </c>
      <c r="S45" s="5" t="str">
        <f t="shared" ca="1" si="2"/>
        <v>Far Expiry</v>
      </c>
    </row>
    <row r="46" spans="1:19" x14ac:dyDescent="0.3">
      <c r="A46" s="5" t="s">
        <v>114</v>
      </c>
      <c r="B46" s="5" t="s">
        <v>25</v>
      </c>
      <c r="C46" s="5" t="s">
        <v>26</v>
      </c>
      <c r="D46" s="5">
        <v>269</v>
      </c>
      <c r="E46" s="19">
        <v>53</v>
      </c>
      <c r="F46" s="19">
        <v>57.83</v>
      </c>
      <c r="G46" s="19">
        <v>73.8</v>
      </c>
      <c r="H46" s="19">
        <v>3.11</v>
      </c>
      <c r="I46" s="19">
        <v>71.510000000000005</v>
      </c>
      <c r="J46" s="20">
        <v>46169</v>
      </c>
      <c r="K46" s="20">
        <v>45769</v>
      </c>
      <c r="L46" s="5" t="s">
        <v>27</v>
      </c>
      <c r="M46" s="21" t="s">
        <v>65</v>
      </c>
      <c r="N46" s="22">
        <f t="shared" ca="1" si="5"/>
        <v>0.05</v>
      </c>
      <c r="O46" s="23">
        <f t="shared" ca="1" si="6"/>
        <v>70.11</v>
      </c>
      <c r="P46" s="19">
        <f>(inventory_data!$D46-inventory_data!$E46)</f>
        <v>216</v>
      </c>
      <c r="Q46" s="36">
        <f t="shared" si="7"/>
        <v>3449.5199999999995</v>
      </c>
      <c r="R46" s="5">
        <f t="shared" ca="1" si="1"/>
        <v>202</v>
      </c>
      <c r="S46" s="5" t="str">
        <f t="shared" ca="1" si="2"/>
        <v>Far Expiry</v>
      </c>
    </row>
    <row r="47" spans="1:19" x14ac:dyDescent="0.3">
      <c r="A47" s="6" t="s">
        <v>115</v>
      </c>
      <c r="B47" s="6" t="s">
        <v>20</v>
      </c>
      <c r="C47" s="6" t="s">
        <v>21</v>
      </c>
      <c r="D47" s="6">
        <v>158</v>
      </c>
      <c r="E47" s="15">
        <v>153</v>
      </c>
      <c r="F47" s="15">
        <v>131.15</v>
      </c>
      <c r="G47" s="15">
        <v>171.18</v>
      </c>
      <c r="H47" s="15">
        <v>1.74</v>
      </c>
      <c r="I47" s="15">
        <v>171.18</v>
      </c>
      <c r="J47" s="16">
        <v>46022</v>
      </c>
      <c r="K47" s="16">
        <v>45858</v>
      </c>
      <c r="L47" s="6" t="s">
        <v>22</v>
      </c>
      <c r="M47" s="1" t="s">
        <v>28</v>
      </c>
      <c r="N47" s="17">
        <f t="shared" ca="1" si="5"/>
        <v>0.2</v>
      </c>
      <c r="O47" s="18">
        <f t="shared" ca="1" si="6"/>
        <v>136.94400000000002</v>
      </c>
      <c r="P47" s="15">
        <f>(inventory_data!$D47-inventory_data!$E47)</f>
        <v>5</v>
      </c>
      <c r="Q47" s="36">
        <f t="shared" si="7"/>
        <v>200.15</v>
      </c>
      <c r="R47" s="5">
        <f t="shared" ca="1" si="1"/>
        <v>55</v>
      </c>
      <c r="S47" s="5" t="str">
        <f t="shared" ca="1" si="2"/>
        <v>Far Expiry</v>
      </c>
    </row>
    <row r="48" spans="1:19" x14ac:dyDescent="0.3">
      <c r="A48" s="5" t="s">
        <v>116</v>
      </c>
      <c r="B48" s="5" t="s">
        <v>49</v>
      </c>
      <c r="C48" s="5" t="s">
        <v>98</v>
      </c>
      <c r="D48" s="5">
        <v>178</v>
      </c>
      <c r="E48" s="19">
        <v>158</v>
      </c>
      <c r="F48" s="19">
        <v>95.01</v>
      </c>
      <c r="G48" s="19">
        <v>134.19</v>
      </c>
      <c r="H48" s="19">
        <v>8.7799999999999994</v>
      </c>
      <c r="I48" s="19">
        <v>132.91</v>
      </c>
      <c r="J48" s="20">
        <v>46624</v>
      </c>
      <c r="K48" s="20">
        <v>45820</v>
      </c>
      <c r="L48" s="5" t="s">
        <v>32</v>
      </c>
      <c r="M48" s="21" t="s">
        <v>28</v>
      </c>
      <c r="N48" s="22">
        <f t="shared" ca="1" si="5"/>
        <v>0.2</v>
      </c>
      <c r="O48" s="23">
        <f t="shared" ca="1" si="6"/>
        <v>107.352</v>
      </c>
      <c r="P48" s="19">
        <f>(inventory_data!$D48-inventory_data!$E48)</f>
        <v>20</v>
      </c>
      <c r="Q48" s="36">
        <f t="shared" si="7"/>
        <v>783.59999999999991</v>
      </c>
      <c r="R48" s="5">
        <f t="shared" ca="1" si="1"/>
        <v>657</v>
      </c>
      <c r="S48" s="5" t="str">
        <f t="shared" ca="1" si="2"/>
        <v>Far Expiry</v>
      </c>
    </row>
    <row r="49" spans="1:19" x14ac:dyDescent="0.3">
      <c r="A49" s="6" t="s">
        <v>117</v>
      </c>
      <c r="B49" s="6" t="s">
        <v>20</v>
      </c>
      <c r="C49" s="6" t="s">
        <v>106</v>
      </c>
      <c r="D49" s="6">
        <v>492</v>
      </c>
      <c r="E49" s="15">
        <v>181</v>
      </c>
      <c r="F49" s="15">
        <v>32.56</v>
      </c>
      <c r="G49" s="15">
        <v>43.6</v>
      </c>
      <c r="H49" s="15">
        <v>4.8899999999999997</v>
      </c>
      <c r="I49" s="15">
        <v>39.380000000000003</v>
      </c>
      <c r="J49" s="16">
        <v>46133</v>
      </c>
      <c r="K49" s="16">
        <v>45757</v>
      </c>
      <c r="L49" s="6" t="s">
        <v>68</v>
      </c>
      <c r="M49" s="1" t="s">
        <v>28</v>
      </c>
      <c r="N49" s="17">
        <f t="shared" ca="1" si="5"/>
        <v>0.2</v>
      </c>
      <c r="O49" s="18">
        <f t="shared" ca="1" si="6"/>
        <v>34.880000000000003</v>
      </c>
      <c r="P49" s="15">
        <f>(inventory_data!$D49-inventory_data!$E49)</f>
        <v>311</v>
      </c>
      <c r="Q49" s="36">
        <f t="shared" si="7"/>
        <v>3433.4399999999996</v>
      </c>
      <c r="R49" s="5">
        <f t="shared" ca="1" si="1"/>
        <v>166</v>
      </c>
      <c r="S49" s="5" t="str">
        <f t="shared" ca="1" si="2"/>
        <v>Far Expiry</v>
      </c>
    </row>
    <row r="50" spans="1:19" x14ac:dyDescent="0.3">
      <c r="A50" s="5" t="s">
        <v>118</v>
      </c>
      <c r="B50" s="5" t="s">
        <v>38</v>
      </c>
      <c r="C50" s="5" t="s">
        <v>53</v>
      </c>
      <c r="D50" s="5">
        <v>87</v>
      </c>
      <c r="E50" s="19">
        <v>31</v>
      </c>
      <c r="F50" s="19">
        <v>144.6</v>
      </c>
      <c r="G50" s="19">
        <v>175.98</v>
      </c>
      <c r="H50" s="19">
        <v>3.9</v>
      </c>
      <c r="I50" s="19">
        <v>175.8</v>
      </c>
      <c r="J50" s="20">
        <v>45878</v>
      </c>
      <c r="K50" s="20">
        <v>45773</v>
      </c>
      <c r="L50" s="5" t="s">
        <v>32</v>
      </c>
      <c r="M50" s="21" t="s">
        <v>36</v>
      </c>
      <c r="N50" s="22">
        <f t="shared" ca="1" si="5"/>
        <v>0.4</v>
      </c>
      <c r="O50" s="23">
        <f t="shared" ca="1" si="6"/>
        <v>105.58799999999999</v>
      </c>
      <c r="P50" s="19">
        <f>(inventory_data!$D50-inventory_data!$E50)</f>
        <v>56</v>
      </c>
      <c r="Q50" s="36">
        <f t="shared" si="7"/>
        <v>1757.2799999999997</v>
      </c>
      <c r="R50" s="5">
        <f t="shared" ca="1" si="1"/>
        <v>-89</v>
      </c>
      <c r="S50" s="5" t="str">
        <f t="shared" ca="1" si="2"/>
        <v>Near Expiry</v>
      </c>
    </row>
    <row r="51" spans="1:19" x14ac:dyDescent="0.3">
      <c r="A51" s="6" t="s">
        <v>119</v>
      </c>
      <c r="B51" s="6" t="s">
        <v>49</v>
      </c>
      <c r="C51" s="6" t="s">
        <v>50</v>
      </c>
      <c r="D51" s="6">
        <v>215</v>
      </c>
      <c r="E51" s="15">
        <v>149</v>
      </c>
      <c r="F51" s="15">
        <v>87.78</v>
      </c>
      <c r="G51" s="15">
        <v>130.55000000000001</v>
      </c>
      <c r="H51" s="15">
        <v>4.67</v>
      </c>
      <c r="I51" s="15">
        <v>125.9</v>
      </c>
      <c r="J51" s="16">
        <v>46192</v>
      </c>
      <c r="K51" s="16">
        <v>45811</v>
      </c>
      <c r="L51" s="6" t="s">
        <v>51</v>
      </c>
      <c r="M51" s="1" t="s">
        <v>28</v>
      </c>
      <c r="N51" s="17">
        <f t="shared" ca="1" si="5"/>
        <v>0.2</v>
      </c>
      <c r="O51" s="18">
        <f t="shared" ca="1" si="6"/>
        <v>104.44000000000001</v>
      </c>
      <c r="P51" s="15">
        <f>(inventory_data!$D51-inventory_data!$E51)</f>
        <v>66</v>
      </c>
      <c r="Q51" s="36">
        <f t="shared" si="7"/>
        <v>2822.8200000000006</v>
      </c>
      <c r="R51" s="5">
        <f t="shared" ca="1" si="1"/>
        <v>225</v>
      </c>
      <c r="S51" s="5" t="str">
        <f t="shared" ca="1" si="2"/>
        <v>Far Expiry</v>
      </c>
    </row>
    <row r="52" spans="1:19" x14ac:dyDescent="0.3">
      <c r="A52" s="5" t="s">
        <v>120</v>
      </c>
      <c r="B52" s="5" t="s">
        <v>25</v>
      </c>
      <c r="C52" s="5" t="s">
        <v>90</v>
      </c>
      <c r="D52" s="5">
        <v>260</v>
      </c>
      <c r="E52" s="19">
        <v>236</v>
      </c>
      <c r="F52" s="19">
        <v>174.33</v>
      </c>
      <c r="G52" s="19">
        <v>242.42</v>
      </c>
      <c r="H52" s="19">
        <v>1.3</v>
      </c>
      <c r="I52" s="19">
        <v>242.17</v>
      </c>
      <c r="J52" s="20">
        <v>46413</v>
      </c>
      <c r="K52" s="20">
        <v>45832</v>
      </c>
      <c r="L52" s="5" t="s">
        <v>27</v>
      </c>
      <c r="M52" s="21" t="s">
        <v>28</v>
      </c>
      <c r="N52" s="22">
        <f t="shared" ca="1" si="5"/>
        <v>0.4</v>
      </c>
      <c r="O52" s="23">
        <f t="shared" ca="1" si="6"/>
        <v>145.452</v>
      </c>
      <c r="P52" s="19">
        <f>(inventory_data!$D52-inventory_data!$E52)</f>
        <v>24</v>
      </c>
      <c r="Q52" s="36">
        <f t="shared" si="7"/>
        <v>1634.1599999999994</v>
      </c>
      <c r="R52" s="5">
        <f t="shared" ca="1" si="1"/>
        <v>446</v>
      </c>
      <c r="S52" s="5" t="str">
        <f t="shared" ca="1" si="2"/>
        <v>Far Expiry</v>
      </c>
    </row>
    <row r="53" spans="1:19" x14ac:dyDescent="0.3">
      <c r="A53" s="6" t="s">
        <v>121</v>
      </c>
      <c r="B53" s="6" t="s">
        <v>20</v>
      </c>
      <c r="C53" s="6" t="s">
        <v>106</v>
      </c>
      <c r="D53" s="6">
        <v>91</v>
      </c>
      <c r="E53" s="15">
        <v>43</v>
      </c>
      <c r="F53" s="15">
        <v>44.41</v>
      </c>
      <c r="G53" s="15">
        <v>62.69</v>
      </c>
      <c r="H53" s="15">
        <v>3.65</v>
      </c>
      <c r="I53" s="15">
        <v>62.3</v>
      </c>
      <c r="J53" s="16">
        <v>46718</v>
      </c>
      <c r="K53" s="16">
        <v>45855</v>
      </c>
      <c r="L53" s="6" t="s">
        <v>68</v>
      </c>
      <c r="M53" s="1" t="s">
        <v>36</v>
      </c>
      <c r="N53" s="17">
        <f t="shared" ca="1" si="5"/>
        <v>0.05</v>
      </c>
      <c r="O53" s="18">
        <f t="shared" ca="1" si="6"/>
        <v>59.555499999999995</v>
      </c>
      <c r="P53" s="15">
        <f>(inventory_data!$D53-inventory_data!$E53)</f>
        <v>48</v>
      </c>
      <c r="Q53" s="36">
        <f t="shared" si="7"/>
        <v>877.44</v>
      </c>
      <c r="R53" s="5">
        <f t="shared" ca="1" si="1"/>
        <v>751</v>
      </c>
      <c r="S53" s="5" t="str">
        <f t="shared" ca="1" si="2"/>
        <v>Far Expiry</v>
      </c>
    </row>
    <row r="54" spans="1:19" x14ac:dyDescent="0.3">
      <c r="A54" s="5" t="s">
        <v>122</v>
      </c>
      <c r="B54" s="5" t="s">
        <v>20</v>
      </c>
      <c r="C54" s="5" t="s">
        <v>34</v>
      </c>
      <c r="D54" s="5">
        <v>283</v>
      </c>
      <c r="E54" s="19">
        <v>59</v>
      </c>
      <c r="F54" s="19">
        <v>109.38</v>
      </c>
      <c r="G54" s="19">
        <v>134.69</v>
      </c>
      <c r="H54" s="19">
        <v>1.78</v>
      </c>
      <c r="I54" s="19">
        <v>133.30000000000001</v>
      </c>
      <c r="J54" s="20">
        <v>46407</v>
      </c>
      <c r="K54" s="20">
        <v>45786</v>
      </c>
      <c r="L54" s="5" t="s">
        <v>35</v>
      </c>
      <c r="M54" s="21" t="s">
        <v>36</v>
      </c>
      <c r="N54" s="22">
        <f t="shared" ca="1" si="5"/>
        <v>0.05</v>
      </c>
      <c r="O54" s="23">
        <f t="shared" ca="1" si="6"/>
        <v>127.95549999999999</v>
      </c>
      <c r="P54" s="19">
        <f>(inventory_data!$D54-inventory_data!$E54)</f>
        <v>224</v>
      </c>
      <c r="Q54" s="36">
        <f t="shared" si="7"/>
        <v>5669.4400000000005</v>
      </c>
      <c r="R54" s="5">
        <f t="shared" ca="1" si="1"/>
        <v>440</v>
      </c>
      <c r="S54" s="5" t="str">
        <f t="shared" ca="1" si="2"/>
        <v>Far Expiry</v>
      </c>
    </row>
    <row r="55" spans="1:19" x14ac:dyDescent="0.3">
      <c r="A55" s="6" t="s">
        <v>123</v>
      </c>
      <c r="B55" s="6" t="s">
        <v>38</v>
      </c>
      <c r="C55" s="6" t="s">
        <v>39</v>
      </c>
      <c r="D55" s="6">
        <v>360</v>
      </c>
      <c r="E55" s="15">
        <v>235</v>
      </c>
      <c r="F55" s="15">
        <v>178.46</v>
      </c>
      <c r="G55" s="15">
        <v>257.86</v>
      </c>
      <c r="H55" s="15">
        <v>2.14</v>
      </c>
      <c r="I55" s="15">
        <v>255.73</v>
      </c>
      <c r="J55" s="16">
        <v>46018</v>
      </c>
      <c r="K55" s="16">
        <v>45796</v>
      </c>
      <c r="L55" s="6" t="s">
        <v>40</v>
      </c>
      <c r="M55" s="1" t="s">
        <v>28</v>
      </c>
      <c r="N55" s="17">
        <f t="shared" ca="1" si="5"/>
        <v>0.4</v>
      </c>
      <c r="O55" s="18">
        <f t="shared" ca="1" si="6"/>
        <v>154.71600000000001</v>
      </c>
      <c r="P55" s="15">
        <f>(inventory_data!$D55-inventory_data!$E55)</f>
        <v>125</v>
      </c>
      <c r="Q55" s="36">
        <f t="shared" si="7"/>
        <v>9925</v>
      </c>
      <c r="R55" s="5">
        <f t="shared" ca="1" si="1"/>
        <v>51</v>
      </c>
      <c r="S55" s="5" t="str">
        <f t="shared" ca="1" si="2"/>
        <v>Far Expiry</v>
      </c>
    </row>
    <row r="56" spans="1:19" x14ac:dyDescent="0.3">
      <c r="A56" s="5" t="s">
        <v>124</v>
      </c>
      <c r="B56" s="5" t="s">
        <v>20</v>
      </c>
      <c r="C56" s="5" t="s">
        <v>106</v>
      </c>
      <c r="D56" s="5">
        <v>142</v>
      </c>
      <c r="E56" s="19">
        <v>29</v>
      </c>
      <c r="F56" s="19">
        <v>126.8</v>
      </c>
      <c r="G56" s="19">
        <v>160.16</v>
      </c>
      <c r="H56" s="19">
        <v>7.01</v>
      </c>
      <c r="I56" s="19">
        <v>158.97999999999999</v>
      </c>
      <c r="J56" s="20">
        <v>45892</v>
      </c>
      <c r="K56" s="20">
        <v>45821</v>
      </c>
      <c r="L56" s="5" t="s">
        <v>68</v>
      </c>
      <c r="M56" s="21" t="s">
        <v>36</v>
      </c>
      <c r="N56" s="22">
        <f t="shared" ca="1" si="5"/>
        <v>0.4</v>
      </c>
      <c r="O56" s="23">
        <f t="shared" ca="1" si="6"/>
        <v>96.095999999999989</v>
      </c>
      <c r="P56" s="19">
        <f>(inventory_data!$D56-inventory_data!$E56)</f>
        <v>113</v>
      </c>
      <c r="Q56" s="36">
        <f t="shared" si="7"/>
        <v>3769.68</v>
      </c>
      <c r="R56" s="5">
        <f t="shared" ca="1" si="1"/>
        <v>-75</v>
      </c>
      <c r="S56" s="5" t="str">
        <f t="shared" ca="1" si="2"/>
        <v>Near Expiry</v>
      </c>
    </row>
    <row r="57" spans="1:19" x14ac:dyDescent="0.3">
      <c r="A57" s="6" t="s">
        <v>125</v>
      </c>
      <c r="B57" s="6" t="s">
        <v>38</v>
      </c>
      <c r="C57" s="6" t="s">
        <v>39</v>
      </c>
      <c r="D57" s="6">
        <v>362</v>
      </c>
      <c r="E57" s="15">
        <v>182</v>
      </c>
      <c r="F57" s="15">
        <v>106.93</v>
      </c>
      <c r="G57" s="15">
        <v>132.13</v>
      </c>
      <c r="H57" s="15">
        <v>1.43</v>
      </c>
      <c r="I57" s="15">
        <v>131.63999999999999</v>
      </c>
      <c r="J57" s="16">
        <v>46026</v>
      </c>
      <c r="K57" s="16">
        <v>45818</v>
      </c>
      <c r="L57" s="6" t="s">
        <v>40</v>
      </c>
      <c r="M57" s="1" t="s">
        <v>28</v>
      </c>
      <c r="N57" s="17">
        <f t="shared" ca="1" si="5"/>
        <v>0.2</v>
      </c>
      <c r="O57" s="18">
        <f t="shared" ca="1" si="6"/>
        <v>105.70400000000001</v>
      </c>
      <c r="P57" s="15">
        <f>(inventory_data!$D57-inventory_data!$E57)</f>
        <v>180</v>
      </c>
      <c r="Q57" s="36">
        <f t="shared" si="7"/>
        <v>4535.9999999999982</v>
      </c>
      <c r="R57" s="5">
        <f t="shared" ca="1" si="1"/>
        <v>59</v>
      </c>
      <c r="S57" s="5" t="str">
        <f t="shared" ca="1" si="2"/>
        <v>Far Expiry</v>
      </c>
    </row>
    <row r="58" spans="1:19" x14ac:dyDescent="0.3">
      <c r="A58" s="5" t="s">
        <v>126</v>
      </c>
      <c r="B58" s="5" t="s">
        <v>38</v>
      </c>
      <c r="C58" s="5" t="s">
        <v>39</v>
      </c>
      <c r="D58" s="5">
        <v>294</v>
      </c>
      <c r="E58" s="19">
        <v>133</v>
      </c>
      <c r="F58" s="19">
        <v>96.63</v>
      </c>
      <c r="G58" s="19">
        <v>122.6</v>
      </c>
      <c r="H58" s="19">
        <v>7.19</v>
      </c>
      <c r="I58" s="19">
        <v>117.38</v>
      </c>
      <c r="J58" s="20">
        <v>45981</v>
      </c>
      <c r="K58" s="20">
        <v>45843</v>
      </c>
      <c r="L58" s="5" t="s">
        <v>40</v>
      </c>
      <c r="M58" s="21" t="s">
        <v>28</v>
      </c>
      <c r="N58" s="22">
        <f t="shared" ca="1" si="5"/>
        <v>0.4</v>
      </c>
      <c r="O58" s="23">
        <f t="shared" ca="1" si="6"/>
        <v>73.559999999999988</v>
      </c>
      <c r="P58" s="19">
        <f>(inventory_data!$D58-inventory_data!$E58)</f>
        <v>161</v>
      </c>
      <c r="Q58" s="36">
        <f t="shared" si="7"/>
        <v>4181.17</v>
      </c>
      <c r="R58" s="5">
        <f t="shared" ca="1" si="1"/>
        <v>14</v>
      </c>
      <c r="S58" s="5" t="str">
        <f t="shared" ca="1" si="2"/>
        <v>Near Expiry</v>
      </c>
    </row>
    <row r="59" spans="1:19" x14ac:dyDescent="0.3">
      <c r="A59" s="6" t="s">
        <v>127</v>
      </c>
      <c r="B59" s="6" t="s">
        <v>38</v>
      </c>
      <c r="C59" s="6" t="s">
        <v>39</v>
      </c>
      <c r="D59" s="6">
        <v>121</v>
      </c>
      <c r="E59" s="15">
        <v>96</v>
      </c>
      <c r="F59" s="15">
        <v>39.67</v>
      </c>
      <c r="G59" s="15">
        <v>51.69</v>
      </c>
      <c r="H59" s="15">
        <v>8.06</v>
      </c>
      <c r="I59" s="15">
        <v>49.27</v>
      </c>
      <c r="J59" s="16">
        <v>46352</v>
      </c>
      <c r="K59" s="16">
        <v>45767</v>
      </c>
      <c r="L59" s="6" t="s">
        <v>40</v>
      </c>
      <c r="M59" s="1" t="s">
        <v>28</v>
      </c>
      <c r="N59" s="17">
        <f t="shared" ca="1" si="5"/>
        <v>0.05</v>
      </c>
      <c r="O59" s="18">
        <f t="shared" ca="1" si="6"/>
        <v>49.105499999999992</v>
      </c>
      <c r="P59" s="15">
        <f>(inventory_data!$D59-inventory_data!$E59)</f>
        <v>25</v>
      </c>
      <c r="Q59" s="36">
        <f t="shared" si="7"/>
        <v>300.49999999999989</v>
      </c>
      <c r="R59" s="5">
        <f t="shared" ca="1" si="1"/>
        <v>385</v>
      </c>
      <c r="S59" s="5" t="str">
        <f t="shared" ca="1" si="2"/>
        <v>Far Expiry</v>
      </c>
    </row>
    <row r="60" spans="1:19" x14ac:dyDescent="0.3">
      <c r="A60" s="5" t="s">
        <v>128</v>
      </c>
      <c r="B60" s="5" t="s">
        <v>55</v>
      </c>
      <c r="C60" s="5" t="s">
        <v>85</v>
      </c>
      <c r="D60" s="5">
        <v>319</v>
      </c>
      <c r="E60" s="19">
        <v>36</v>
      </c>
      <c r="F60" s="19">
        <v>177.91</v>
      </c>
      <c r="G60" s="19">
        <v>221.11</v>
      </c>
      <c r="H60" s="19">
        <v>7.8</v>
      </c>
      <c r="I60" s="19">
        <v>218.18</v>
      </c>
      <c r="J60" s="20">
        <v>45898</v>
      </c>
      <c r="K60" s="20">
        <v>45779</v>
      </c>
      <c r="L60" s="5" t="s">
        <v>86</v>
      </c>
      <c r="M60" s="21" t="s">
        <v>36</v>
      </c>
      <c r="N60" s="22">
        <f t="shared" ca="1" si="5"/>
        <v>0.4</v>
      </c>
      <c r="O60" s="23">
        <f t="shared" ca="1" si="6"/>
        <v>132.666</v>
      </c>
      <c r="P60" s="19">
        <f>(inventory_data!$D60-inventory_data!$E60)</f>
        <v>283</v>
      </c>
      <c r="Q60" s="36">
        <f t="shared" si="7"/>
        <v>12225.600000000004</v>
      </c>
      <c r="R60" s="5">
        <f t="shared" ca="1" si="1"/>
        <v>-69</v>
      </c>
      <c r="S60" s="5" t="str">
        <f t="shared" ca="1" si="2"/>
        <v>Near Expiry</v>
      </c>
    </row>
    <row r="61" spans="1:19" x14ac:dyDescent="0.3">
      <c r="A61" s="6" t="s">
        <v>129</v>
      </c>
      <c r="B61" s="6" t="s">
        <v>38</v>
      </c>
      <c r="C61" s="6" t="s">
        <v>39</v>
      </c>
      <c r="D61" s="6">
        <v>302</v>
      </c>
      <c r="E61" s="15">
        <v>260</v>
      </c>
      <c r="F61" s="15">
        <v>30.2</v>
      </c>
      <c r="G61" s="15">
        <v>40.380000000000003</v>
      </c>
      <c r="H61" s="15">
        <v>9.5500000000000007</v>
      </c>
      <c r="I61" s="15">
        <v>31.77</v>
      </c>
      <c r="J61" s="16">
        <v>46751</v>
      </c>
      <c r="K61" s="16">
        <v>45823</v>
      </c>
      <c r="L61" s="6" t="s">
        <v>40</v>
      </c>
      <c r="M61" s="1" t="s">
        <v>28</v>
      </c>
      <c r="N61" s="17">
        <f t="shared" ca="1" si="5"/>
        <v>0.4</v>
      </c>
      <c r="O61" s="18">
        <f t="shared" ca="1" si="6"/>
        <v>24.228000000000002</v>
      </c>
      <c r="P61" s="15">
        <f>(inventory_data!$D61-inventory_data!$E61)</f>
        <v>42</v>
      </c>
      <c r="Q61" s="36">
        <f t="shared" si="7"/>
        <v>427.56000000000012</v>
      </c>
      <c r="R61" s="5">
        <f t="shared" ca="1" si="1"/>
        <v>784</v>
      </c>
      <c r="S61" s="5" t="str">
        <f t="shared" ca="1" si="2"/>
        <v>Far Expiry</v>
      </c>
    </row>
    <row r="62" spans="1:19" x14ac:dyDescent="0.3">
      <c r="A62" s="5" t="s">
        <v>130</v>
      </c>
      <c r="B62" s="5" t="s">
        <v>38</v>
      </c>
      <c r="C62" s="5" t="s">
        <v>53</v>
      </c>
      <c r="D62" s="5">
        <v>170</v>
      </c>
      <c r="E62" s="19">
        <v>136</v>
      </c>
      <c r="F62" s="19">
        <v>92.24</v>
      </c>
      <c r="G62" s="19">
        <v>132.21</v>
      </c>
      <c r="H62" s="19">
        <v>2.16</v>
      </c>
      <c r="I62" s="19">
        <v>131.19999999999999</v>
      </c>
      <c r="J62" s="20">
        <v>46704</v>
      </c>
      <c r="K62" s="20">
        <v>45830</v>
      </c>
      <c r="L62" s="5" t="s">
        <v>32</v>
      </c>
      <c r="M62" s="21" t="s">
        <v>28</v>
      </c>
      <c r="N62" s="22">
        <f t="shared" ca="1" si="5"/>
        <v>0.2</v>
      </c>
      <c r="O62" s="23">
        <f t="shared" ca="1" si="6"/>
        <v>105.76800000000001</v>
      </c>
      <c r="P62" s="19">
        <f>(inventory_data!$D62-inventory_data!$E62)</f>
        <v>34</v>
      </c>
      <c r="Q62" s="36">
        <f t="shared" si="7"/>
        <v>1358.9800000000005</v>
      </c>
      <c r="R62" s="5">
        <f t="shared" ca="1" si="1"/>
        <v>737</v>
      </c>
      <c r="S62" s="5" t="str">
        <f t="shared" ca="1" si="2"/>
        <v>Far Expiry</v>
      </c>
    </row>
    <row r="63" spans="1:19" x14ac:dyDescent="0.3">
      <c r="A63" s="6" t="s">
        <v>131</v>
      </c>
      <c r="B63" s="6" t="s">
        <v>25</v>
      </c>
      <c r="C63" s="6" t="s">
        <v>90</v>
      </c>
      <c r="D63" s="6">
        <v>80</v>
      </c>
      <c r="E63" s="15">
        <v>23</v>
      </c>
      <c r="F63" s="15">
        <v>131.16999999999999</v>
      </c>
      <c r="G63" s="15">
        <v>179.42</v>
      </c>
      <c r="H63" s="15">
        <v>5.26</v>
      </c>
      <c r="I63" s="15">
        <v>175.77</v>
      </c>
      <c r="J63" s="16">
        <v>45930</v>
      </c>
      <c r="K63" s="16">
        <v>45770</v>
      </c>
      <c r="L63" s="6" t="s">
        <v>27</v>
      </c>
      <c r="M63" s="1" t="s">
        <v>36</v>
      </c>
      <c r="N63" s="17">
        <f t="shared" ca="1" si="5"/>
        <v>0.4</v>
      </c>
      <c r="O63" s="18">
        <f t="shared" ca="1" si="6"/>
        <v>107.65199999999999</v>
      </c>
      <c r="P63" s="15">
        <f>(inventory_data!$D63-inventory_data!$E63)</f>
        <v>57</v>
      </c>
      <c r="Q63" s="36">
        <f t="shared" si="7"/>
        <v>2750.25</v>
      </c>
      <c r="R63" s="5">
        <f t="shared" ca="1" si="1"/>
        <v>-37</v>
      </c>
      <c r="S63" s="5" t="str">
        <f t="shared" ca="1" si="2"/>
        <v>Near Expiry</v>
      </c>
    </row>
    <row r="64" spans="1:19" x14ac:dyDescent="0.3">
      <c r="A64" s="5" t="s">
        <v>132</v>
      </c>
      <c r="B64" s="5" t="s">
        <v>55</v>
      </c>
      <c r="C64" s="5" t="s">
        <v>85</v>
      </c>
      <c r="D64" s="5">
        <v>368</v>
      </c>
      <c r="E64" s="19">
        <v>242</v>
      </c>
      <c r="F64" s="19">
        <v>189.84</v>
      </c>
      <c r="G64" s="19">
        <v>263.20999999999998</v>
      </c>
      <c r="H64" s="19">
        <v>9.94</v>
      </c>
      <c r="I64" s="19">
        <v>262.70999999999998</v>
      </c>
      <c r="J64" s="20">
        <v>46040</v>
      </c>
      <c r="K64" s="20">
        <v>45796</v>
      </c>
      <c r="L64" s="5" t="s">
        <v>86</v>
      </c>
      <c r="M64" s="21" t="s">
        <v>28</v>
      </c>
      <c r="N64" s="22">
        <f t="shared" ca="1" si="5"/>
        <v>0.4</v>
      </c>
      <c r="O64" s="23">
        <f t="shared" ca="1" si="6"/>
        <v>157.92599999999999</v>
      </c>
      <c r="P64" s="19">
        <f>(inventory_data!$D64-inventory_data!$E64)</f>
        <v>126</v>
      </c>
      <c r="Q64" s="36">
        <f t="shared" si="7"/>
        <v>9244.6199999999972</v>
      </c>
      <c r="R64" s="5">
        <f t="shared" ca="1" si="1"/>
        <v>73</v>
      </c>
      <c r="S64" s="5" t="str">
        <f t="shared" ca="1" si="2"/>
        <v>Far Expiry</v>
      </c>
    </row>
    <row r="65" spans="1:19" x14ac:dyDescent="0.3">
      <c r="A65" s="6" t="s">
        <v>133</v>
      </c>
      <c r="B65" s="6" t="s">
        <v>63</v>
      </c>
      <c r="C65" s="6" t="s">
        <v>134</v>
      </c>
      <c r="D65" s="6">
        <v>486</v>
      </c>
      <c r="E65" s="15">
        <v>212</v>
      </c>
      <c r="F65" s="15">
        <v>37.799999999999997</v>
      </c>
      <c r="G65" s="15">
        <v>54.59</v>
      </c>
      <c r="H65" s="15">
        <v>5.89</v>
      </c>
      <c r="I65" s="15">
        <v>53.22</v>
      </c>
      <c r="J65" s="16">
        <v>46309</v>
      </c>
      <c r="K65" s="16">
        <v>45767</v>
      </c>
      <c r="L65" s="6" t="s">
        <v>35</v>
      </c>
      <c r="M65" s="1" t="s">
        <v>28</v>
      </c>
      <c r="N65" s="17">
        <f t="shared" ca="1" si="5"/>
        <v>0.4</v>
      </c>
      <c r="O65" s="18">
        <f t="shared" ca="1" si="6"/>
        <v>32.753999999999998</v>
      </c>
      <c r="P65" s="15">
        <f>(inventory_data!$D65-inventory_data!$E65)</f>
        <v>274</v>
      </c>
      <c r="Q65" s="36">
        <f t="shared" si="7"/>
        <v>4600.4600000000019</v>
      </c>
      <c r="R65" s="5">
        <f t="shared" ca="1" si="1"/>
        <v>342</v>
      </c>
      <c r="S65" s="5" t="str">
        <f t="shared" ca="1" si="2"/>
        <v>Far Expiry</v>
      </c>
    </row>
    <row r="66" spans="1:19" x14ac:dyDescent="0.3">
      <c r="A66" s="5" t="s">
        <v>135</v>
      </c>
      <c r="B66" s="5" t="s">
        <v>49</v>
      </c>
      <c r="C66" s="5" t="s">
        <v>98</v>
      </c>
      <c r="D66" s="5">
        <v>376</v>
      </c>
      <c r="E66" s="19">
        <v>288</v>
      </c>
      <c r="F66" s="19">
        <v>64.47</v>
      </c>
      <c r="G66" s="19">
        <v>80.58</v>
      </c>
      <c r="H66" s="19">
        <v>9.24</v>
      </c>
      <c r="I66" s="19">
        <v>74.959999999999994</v>
      </c>
      <c r="J66" s="20">
        <v>46426</v>
      </c>
      <c r="K66" s="20">
        <v>45760</v>
      </c>
      <c r="L66" s="5" t="s">
        <v>32</v>
      </c>
      <c r="M66" s="21" t="s">
        <v>28</v>
      </c>
      <c r="N66" s="22">
        <f t="shared" ref="N66:N97" ca="1" si="8">IF(OR(E66&gt;200,J66&lt;=TODAY()+30),0.4,
   IF(OR(AND(E66&gt;=100,E66&lt;=200),J66&lt;=TODAY()+90),0.2,0.05))</f>
        <v>0.4</v>
      </c>
      <c r="O66" s="23">
        <f t="shared" ref="O66:O97" ca="1" si="9">G66*(1-N66)</f>
        <v>48.347999999999999</v>
      </c>
      <c r="P66" s="19">
        <f>(inventory_data!$D66-inventory_data!$E66)</f>
        <v>88</v>
      </c>
      <c r="Q66" s="36">
        <f t="shared" ref="Q66:Q97" si="10">(G66-F66)*P66</f>
        <v>1417.6799999999998</v>
      </c>
      <c r="R66" s="5">
        <f t="shared" ca="1" si="1"/>
        <v>459</v>
      </c>
      <c r="S66" s="5" t="str">
        <f t="shared" ca="1" si="2"/>
        <v>Far Expiry</v>
      </c>
    </row>
    <row r="67" spans="1:19" x14ac:dyDescent="0.3">
      <c r="A67" s="6" t="s">
        <v>136</v>
      </c>
      <c r="B67" s="6" t="s">
        <v>20</v>
      </c>
      <c r="C67" s="6" t="s">
        <v>106</v>
      </c>
      <c r="D67" s="6">
        <v>466</v>
      </c>
      <c r="E67" s="15">
        <v>403</v>
      </c>
      <c r="F67" s="15">
        <v>193.18</v>
      </c>
      <c r="G67" s="15">
        <v>234.5</v>
      </c>
      <c r="H67" s="15">
        <v>5.61</v>
      </c>
      <c r="I67" s="15">
        <v>229.74</v>
      </c>
      <c r="J67" s="16">
        <v>46362</v>
      </c>
      <c r="K67" s="16">
        <v>45762</v>
      </c>
      <c r="L67" s="6" t="s">
        <v>68</v>
      </c>
      <c r="M67" s="1" t="s">
        <v>28</v>
      </c>
      <c r="N67" s="17">
        <f t="shared" ca="1" si="8"/>
        <v>0.4</v>
      </c>
      <c r="O67" s="18">
        <f t="shared" ca="1" si="9"/>
        <v>140.69999999999999</v>
      </c>
      <c r="P67" s="15">
        <f>(inventory_data!$D67-inventory_data!$E67)</f>
        <v>63</v>
      </c>
      <c r="Q67" s="36">
        <f t="shared" si="10"/>
        <v>2603.1599999999994</v>
      </c>
      <c r="R67" s="5">
        <f t="shared" ref="R67:R130" ca="1" si="11">J67-TODAY()</f>
        <v>395</v>
      </c>
      <c r="S67" s="5" t="str">
        <f t="shared" ref="S67:S130" ca="1" si="12">IF(R67&lt;=40,"Near Expiry",IF(R67&gt;41,"Far Expiry"))</f>
        <v>Far Expiry</v>
      </c>
    </row>
    <row r="68" spans="1:19" x14ac:dyDescent="0.3">
      <c r="A68" s="5" t="s">
        <v>137</v>
      </c>
      <c r="B68" s="5" t="s">
        <v>20</v>
      </c>
      <c r="C68" s="5" t="s">
        <v>106</v>
      </c>
      <c r="D68" s="5">
        <v>400</v>
      </c>
      <c r="E68" s="19">
        <v>390</v>
      </c>
      <c r="F68" s="19">
        <v>64.12</v>
      </c>
      <c r="G68" s="19">
        <v>87.96</v>
      </c>
      <c r="H68" s="19">
        <v>5.39</v>
      </c>
      <c r="I68" s="19">
        <v>87.23</v>
      </c>
      <c r="J68" s="20">
        <v>46189</v>
      </c>
      <c r="K68" s="20">
        <v>45803</v>
      </c>
      <c r="L68" s="5" t="s">
        <v>68</v>
      </c>
      <c r="M68" s="21" t="s">
        <v>28</v>
      </c>
      <c r="N68" s="22">
        <f t="shared" ca="1" si="8"/>
        <v>0.4</v>
      </c>
      <c r="O68" s="23">
        <f t="shared" ca="1" si="9"/>
        <v>52.775999999999996</v>
      </c>
      <c r="P68" s="19">
        <f>(inventory_data!$D68-inventory_data!$E68)</f>
        <v>10</v>
      </c>
      <c r="Q68" s="36">
        <f t="shared" si="10"/>
        <v>238.39999999999989</v>
      </c>
      <c r="R68" s="5">
        <f t="shared" ca="1" si="11"/>
        <v>222</v>
      </c>
      <c r="S68" s="5" t="str">
        <f t="shared" ca="1" si="12"/>
        <v>Far Expiry</v>
      </c>
    </row>
    <row r="69" spans="1:19" x14ac:dyDescent="0.3">
      <c r="A69" s="6" t="s">
        <v>138</v>
      </c>
      <c r="B69" s="6" t="s">
        <v>20</v>
      </c>
      <c r="C69" s="6" t="s">
        <v>21</v>
      </c>
      <c r="D69" s="6">
        <v>119</v>
      </c>
      <c r="E69" s="15">
        <v>20</v>
      </c>
      <c r="F69" s="15">
        <v>58.38</v>
      </c>
      <c r="G69" s="15">
        <v>86.21</v>
      </c>
      <c r="H69" s="15">
        <v>4.03</v>
      </c>
      <c r="I69" s="15">
        <v>83.99</v>
      </c>
      <c r="J69" s="16">
        <v>46403</v>
      </c>
      <c r="K69" s="16">
        <v>45790</v>
      </c>
      <c r="L69" s="6" t="s">
        <v>22</v>
      </c>
      <c r="M69" s="1" t="s">
        <v>36</v>
      </c>
      <c r="N69" s="17">
        <f t="shared" ca="1" si="8"/>
        <v>0.05</v>
      </c>
      <c r="O69" s="18">
        <f t="shared" ca="1" si="9"/>
        <v>81.899499999999989</v>
      </c>
      <c r="P69" s="15">
        <f>(inventory_data!$D69-inventory_data!$E69)</f>
        <v>99</v>
      </c>
      <c r="Q69" s="36">
        <f t="shared" si="10"/>
        <v>2755.1699999999992</v>
      </c>
      <c r="R69" s="5">
        <f t="shared" ca="1" si="11"/>
        <v>436</v>
      </c>
      <c r="S69" s="5" t="str">
        <f t="shared" ca="1" si="12"/>
        <v>Far Expiry</v>
      </c>
    </row>
    <row r="70" spans="1:19" x14ac:dyDescent="0.3">
      <c r="A70" s="5" t="s">
        <v>139</v>
      </c>
      <c r="B70" s="5" t="s">
        <v>55</v>
      </c>
      <c r="C70" s="5" t="s">
        <v>56</v>
      </c>
      <c r="D70" s="5">
        <v>116</v>
      </c>
      <c r="E70" s="19">
        <v>60</v>
      </c>
      <c r="F70" s="19">
        <v>15.41</v>
      </c>
      <c r="G70" s="19">
        <v>18.760000000000002</v>
      </c>
      <c r="H70" s="19">
        <v>4.6900000000000004</v>
      </c>
      <c r="I70" s="19">
        <v>17.52</v>
      </c>
      <c r="J70" s="20">
        <v>46743</v>
      </c>
      <c r="K70" s="20">
        <v>45774</v>
      </c>
      <c r="L70" s="5" t="s">
        <v>57</v>
      </c>
      <c r="M70" s="21" t="s">
        <v>36</v>
      </c>
      <c r="N70" s="22">
        <f t="shared" ca="1" si="8"/>
        <v>0.05</v>
      </c>
      <c r="O70" s="23">
        <f t="shared" ca="1" si="9"/>
        <v>17.821999999999999</v>
      </c>
      <c r="P70" s="19">
        <f>(inventory_data!$D70-inventory_data!$E70)</f>
        <v>56</v>
      </c>
      <c r="Q70" s="36">
        <f t="shared" si="10"/>
        <v>187.60000000000008</v>
      </c>
      <c r="R70" s="5">
        <f t="shared" ca="1" si="11"/>
        <v>776</v>
      </c>
      <c r="S70" s="5" t="str">
        <f t="shared" ca="1" si="12"/>
        <v>Far Expiry</v>
      </c>
    </row>
    <row r="71" spans="1:19" x14ac:dyDescent="0.3">
      <c r="A71" s="6" t="s">
        <v>140</v>
      </c>
      <c r="B71" s="6" t="s">
        <v>25</v>
      </c>
      <c r="C71" s="6" t="s">
        <v>26</v>
      </c>
      <c r="D71" s="6">
        <v>94</v>
      </c>
      <c r="E71" s="15">
        <v>12</v>
      </c>
      <c r="F71" s="15">
        <v>130.16999999999999</v>
      </c>
      <c r="G71" s="15">
        <v>192.07</v>
      </c>
      <c r="H71" s="15">
        <v>2.63</v>
      </c>
      <c r="I71" s="15">
        <v>191.59</v>
      </c>
      <c r="J71" s="16">
        <v>46724</v>
      </c>
      <c r="K71" s="16">
        <v>45750</v>
      </c>
      <c r="L71" s="6" t="s">
        <v>27</v>
      </c>
      <c r="M71" s="1" t="s">
        <v>36</v>
      </c>
      <c r="N71" s="17">
        <f t="shared" ca="1" si="8"/>
        <v>0.05</v>
      </c>
      <c r="O71" s="18">
        <f t="shared" ca="1" si="9"/>
        <v>182.4665</v>
      </c>
      <c r="P71" s="15">
        <f>(inventory_data!$D71-inventory_data!$E71)</f>
        <v>82</v>
      </c>
      <c r="Q71" s="36">
        <f t="shared" si="10"/>
        <v>5075.8</v>
      </c>
      <c r="R71" s="5">
        <f t="shared" ca="1" si="11"/>
        <v>757</v>
      </c>
      <c r="S71" s="5" t="str">
        <f t="shared" ca="1" si="12"/>
        <v>Far Expiry</v>
      </c>
    </row>
    <row r="72" spans="1:19" x14ac:dyDescent="0.3">
      <c r="A72" s="5" t="s">
        <v>141</v>
      </c>
      <c r="B72" s="5" t="s">
        <v>20</v>
      </c>
      <c r="C72" s="5" t="s">
        <v>106</v>
      </c>
      <c r="D72" s="5">
        <v>289</v>
      </c>
      <c r="E72" s="19">
        <v>268</v>
      </c>
      <c r="F72" s="19">
        <v>47.71</v>
      </c>
      <c r="G72" s="19">
        <v>67.17</v>
      </c>
      <c r="H72" s="19">
        <v>7.82</v>
      </c>
      <c r="I72" s="19">
        <v>61.9</v>
      </c>
      <c r="J72" s="20">
        <v>46687</v>
      </c>
      <c r="K72" s="20">
        <v>45794</v>
      </c>
      <c r="L72" s="5" t="s">
        <v>68</v>
      </c>
      <c r="M72" s="21" t="s">
        <v>28</v>
      </c>
      <c r="N72" s="22">
        <f t="shared" ca="1" si="8"/>
        <v>0.4</v>
      </c>
      <c r="O72" s="23">
        <f t="shared" ca="1" si="9"/>
        <v>40.302</v>
      </c>
      <c r="P72" s="19">
        <f>(inventory_data!$D72-inventory_data!$E72)</f>
        <v>21</v>
      </c>
      <c r="Q72" s="36">
        <f t="shared" si="10"/>
        <v>408.66</v>
      </c>
      <c r="R72" s="5">
        <f t="shared" ca="1" si="11"/>
        <v>720</v>
      </c>
      <c r="S72" s="5" t="str">
        <f t="shared" ca="1" si="12"/>
        <v>Far Expiry</v>
      </c>
    </row>
    <row r="73" spans="1:19" x14ac:dyDescent="0.3">
      <c r="A73" s="6" t="s">
        <v>142</v>
      </c>
      <c r="B73" s="6" t="s">
        <v>30</v>
      </c>
      <c r="C73" s="6" t="s">
        <v>31</v>
      </c>
      <c r="D73" s="6">
        <v>281</v>
      </c>
      <c r="E73" s="15">
        <v>106</v>
      </c>
      <c r="F73" s="15">
        <v>169.21</v>
      </c>
      <c r="G73" s="15">
        <v>236.28</v>
      </c>
      <c r="H73" s="15">
        <v>4.1900000000000004</v>
      </c>
      <c r="I73" s="15">
        <v>236.14</v>
      </c>
      <c r="J73" s="16">
        <v>46275</v>
      </c>
      <c r="K73" s="16">
        <v>45815</v>
      </c>
      <c r="L73" s="6" t="s">
        <v>32</v>
      </c>
      <c r="M73" s="1" t="s">
        <v>28</v>
      </c>
      <c r="N73" s="17">
        <f t="shared" ca="1" si="8"/>
        <v>0.2</v>
      </c>
      <c r="O73" s="18">
        <f t="shared" ca="1" si="9"/>
        <v>189.024</v>
      </c>
      <c r="P73" s="15">
        <f>(inventory_data!$D73-inventory_data!$E73)</f>
        <v>175</v>
      </c>
      <c r="Q73" s="36">
        <f t="shared" si="10"/>
        <v>11737.249999999998</v>
      </c>
      <c r="R73" s="5">
        <f t="shared" ca="1" si="11"/>
        <v>308</v>
      </c>
      <c r="S73" s="5" t="str">
        <f t="shared" ca="1" si="12"/>
        <v>Far Expiry</v>
      </c>
    </row>
    <row r="74" spans="1:19" x14ac:dyDescent="0.3">
      <c r="A74" s="5" t="s">
        <v>143</v>
      </c>
      <c r="B74" s="5" t="s">
        <v>49</v>
      </c>
      <c r="C74" s="5" t="s">
        <v>50</v>
      </c>
      <c r="D74" s="5">
        <v>256</v>
      </c>
      <c r="E74" s="19">
        <v>251</v>
      </c>
      <c r="F74" s="19">
        <v>64.459999999999994</v>
      </c>
      <c r="G74" s="19">
        <v>85.86</v>
      </c>
      <c r="H74" s="19">
        <v>7.9</v>
      </c>
      <c r="I74" s="19">
        <v>81.41</v>
      </c>
      <c r="J74" s="20">
        <v>46001</v>
      </c>
      <c r="K74" s="20">
        <v>45839</v>
      </c>
      <c r="L74" s="5" t="s">
        <v>51</v>
      </c>
      <c r="M74" s="21" t="s">
        <v>28</v>
      </c>
      <c r="N74" s="22">
        <f t="shared" ca="1" si="8"/>
        <v>0.4</v>
      </c>
      <c r="O74" s="23">
        <f t="shared" ca="1" si="9"/>
        <v>51.515999999999998</v>
      </c>
      <c r="P74" s="19">
        <f>(inventory_data!$D74-inventory_data!$E74)</f>
        <v>5</v>
      </c>
      <c r="Q74" s="36">
        <f t="shared" si="10"/>
        <v>107.00000000000003</v>
      </c>
      <c r="R74" s="5">
        <f t="shared" ca="1" si="11"/>
        <v>34</v>
      </c>
      <c r="S74" s="5" t="str">
        <f t="shared" ca="1" si="12"/>
        <v>Near Expiry</v>
      </c>
    </row>
    <row r="75" spans="1:19" x14ac:dyDescent="0.3">
      <c r="A75" s="6" t="s">
        <v>144</v>
      </c>
      <c r="B75" s="6" t="s">
        <v>63</v>
      </c>
      <c r="C75" s="6" t="s">
        <v>134</v>
      </c>
      <c r="D75" s="6">
        <v>408</v>
      </c>
      <c r="E75" s="15">
        <v>378</v>
      </c>
      <c r="F75" s="15">
        <v>113.7</v>
      </c>
      <c r="G75" s="15">
        <v>159.87</v>
      </c>
      <c r="H75" s="15">
        <v>5.14</v>
      </c>
      <c r="I75" s="15">
        <v>154.75</v>
      </c>
      <c r="J75" s="16">
        <v>46706</v>
      </c>
      <c r="K75" s="16">
        <v>45780</v>
      </c>
      <c r="L75" s="6" t="s">
        <v>35</v>
      </c>
      <c r="M75" s="1" t="s">
        <v>28</v>
      </c>
      <c r="N75" s="17">
        <f t="shared" ca="1" si="8"/>
        <v>0.4</v>
      </c>
      <c r="O75" s="18">
        <f t="shared" ca="1" si="9"/>
        <v>95.921999999999997</v>
      </c>
      <c r="P75" s="15">
        <f>(inventory_data!$D75-inventory_data!$E75)</f>
        <v>30</v>
      </c>
      <c r="Q75" s="36">
        <f t="shared" si="10"/>
        <v>1385.1000000000001</v>
      </c>
      <c r="R75" s="5">
        <f t="shared" ca="1" si="11"/>
        <v>739</v>
      </c>
      <c r="S75" s="5" t="str">
        <f t="shared" ca="1" si="12"/>
        <v>Far Expiry</v>
      </c>
    </row>
    <row r="76" spans="1:19" x14ac:dyDescent="0.3">
      <c r="A76" s="5" t="s">
        <v>145</v>
      </c>
      <c r="B76" s="5" t="s">
        <v>25</v>
      </c>
      <c r="C76" s="5" t="s">
        <v>47</v>
      </c>
      <c r="D76" s="5">
        <v>347</v>
      </c>
      <c r="E76" s="19">
        <v>19</v>
      </c>
      <c r="F76" s="19">
        <v>107.04</v>
      </c>
      <c r="G76" s="19">
        <v>135.77000000000001</v>
      </c>
      <c r="H76" s="19">
        <v>4.4400000000000004</v>
      </c>
      <c r="I76" s="19">
        <v>131.51</v>
      </c>
      <c r="J76" s="20">
        <v>46402</v>
      </c>
      <c r="K76" s="20">
        <v>45824</v>
      </c>
      <c r="L76" s="5" t="s">
        <v>32</v>
      </c>
      <c r="M76" s="21" t="s">
        <v>36</v>
      </c>
      <c r="N76" s="22">
        <f t="shared" ca="1" si="8"/>
        <v>0.05</v>
      </c>
      <c r="O76" s="23">
        <f t="shared" ca="1" si="9"/>
        <v>128.98150000000001</v>
      </c>
      <c r="P76" s="19">
        <f>(inventory_data!$D76-inventory_data!$E76)</f>
        <v>328</v>
      </c>
      <c r="Q76" s="36">
        <f t="shared" si="10"/>
        <v>9423.44</v>
      </c>
      <c r="R76" s="5">
        <f t="shared" ca="1" si="11"/>
        <v>435</v>
      </c>
      <c r="S76" s="5" t="str">
        <f t="shared" ca="1" si="12"/>
        <v>Far Expiry</v>
      </c>
    </row>
    <row r="77" spans="1:19" x14ac:dyDescent="0.3">
      <c r="A77" s="6" t="s">
        <v>146</v>
      </c>
      <c r="B77" s="6" t="s">
        <v>38</v>
      </c>
      <c r="C77" s="6" t="s">
        <v>53</v>
      </c>
      <c r="D77" s="6">
        <v>134</v>
      </c>
      <c r="E77" s="15">
        <v>94</v>
      </c>
      <c r="F77" s="15">
        <v>117.26</v>
      </c>
      <c r="G77" s="15">
        <v>163.97</v>
      </c>
      <c r="H77" s="15">
        <v>9.0500000000000007</v>
      </c>
      <c r="I77" s="15">
        <v>162.55000000000001</v>
      </c>
      <c r="J77" s="16">
        <v>46572</v>
      </c>
      <c r="K77" s="16">
        <v>45760</v>
      </c>
      <c r="L77" s="6" t="s">
        <v>32</v>
      </c>
      <c r="M77" s="1" t="s">
        <v>28</v>
      </c>
      <c r="N77" s="17">
        <f t="shared" ca="1" si="8"/>
        <v>0.05</v>
      </c>
      <c r="O77" s="18">
        <f t="shared" ca="1" si="9"/>
        <v>155.7715</v>
      </c>
      <c r="P77" s="15">
        <f>(inventory_data!$D77-inventory_data!$E77)</f>
        <v>40</v>
      </c>
      <c r="Q77" s="36">
        <f t="shared" si="10"/>
        <v>1868.3999999999996</v>
      </c>
      <c r="R77" s="5">
        <f t="shared" ca="1" si="11"/>
        <v>605</v>
      </c>
      <c r="S77" s="5" t="str">
        <f t="shared" ca="1" si="12"/>
        <v>Far Expiry</v>
      </c>
    </row>
    <row r="78" spans="1:19" x14ac:dyDescent="0.3">
      <c r="A78" s="5" t="s">
        <v>147</v>
      </c>
      <c r="B78" s="5" t="s">
        <v>20</v>
      </c>
      <c r="C78" s="5" t="s">
        <v>34</v>
      </c>
      <c r="D78" s="5">
        <v>384</v>
      </c>
      <c r="E78" s="19">
        <v>59</v>
      </c>
      <c r="F78" s="19">
        <v>166.94</v>
      </c>
      <c r="G78" s="19">
        <v>212.45</v>
      </c>
      <c r="H78" s="19">
        <v>3.17</v>
      </c>
      <c r="I78" s="19">
        <v>210.25</v>
      </c>
      <c r="J78" s="20">
        <v>45872</v>
      </c>
      <c r="K78" s="20">
        <v>45757</v>
      </c>
      <c r="L78" s="5" t="s">
        <v>35</v>
      </c>
      <c r="M78" s="21" t="s">
        <v>36</v>
      </c>
      <c r="N78" s="22">
        <f t="shared" ca="1" si="8"/>
        <v>0.4</v>
      </c>
      <c r="O78" s="23">
        <f t="shared" ca="1" si="9"/>
        <v>127.46999999999998</v>
      </c>
      <c r="P78" s="19">
        <f>(inventory_data!$D78-inventory_data!$E78)</f>
        <v>325</v>
      </c>
      <c r="Q78" s="36">
        <f t="shared" si="10"/>
        <v>14790.749999999996</v>
      </c>
      <c r="R78" s="5">
        <f t="shared" ca="1" si="11"/>
        <v>-95</v>
      </c>
      <c r="S78" s="5" t="str">
        <f t="shared" ca="1" si="12"/>
        <v>Near Expiry</v>
      </c>
    </row>
    <row r="79" spans="1:19" x14ac:dyDescent="0.3">
      <c r="A79" s="6" t="s">
        <v>148</v>
      </c>
      <c r="B79" s="6" t="s">
        <v>43</v>
      </c>
      <c r="C79" s="6" t="s">
        <v>149</v>
      </c>
      <c r="D79" s="6">
        <v>471</v>
      </c>
      <c r="E79" s="15">
        <v>377</v>
      </c>
      <c r="F79" s="15">
        <v>178.51</v>
      </c>
      <c r="G79" s="15">
        <v>219.79</v>
      </c>
      <c r="H79" s="15">
        <v>4.5199999999999996</v>
      </c>
      <c r="I79" s="15">
        <v>217.91</v>
      </c>
      <c r="J79" s="16">
        <v>45900</v>
      </c>
      <c r="K79" s="16">
        <v>45800</v>
      </c>
      <c r="L79" s="6" t="s">
        <v>40</v>
      </c>
      <c r="M79" s="1" t="s">
        <v>28</v>
      </c>
      <c r="N79" s="17">
        <f t="shared" ca="1" si="8"/>
        <v>0.4</v>
      </c>
      <c r="O79" s="18">
        <f t="shared" ca="1" si="9"/>
        <v>131.874</v>
      </c>
      <c r="P79" s="15">
        <f>(inventory_data!$D79-inventory_data!$E79)</f>
        <v>94</v>
      </c>
      <c r="Q79" s="36">
        <f t="shared" si="10"/>
        <v>3880.32</v>
      </c>
      <c r="R79" s="5">
        <f t="shared" ca="1" si="11"/>
        <v>-67</v>
      </c>
      <c r="S79" s="5" t="str">
        <f t="shared" ca="1" si="12"/>
        <v>Near Expiry</v>
      </c>
    </row>
    <row r="80" spans="1:19" x14ac:dyDescent="0.3">
      <c r="A80" s="5" t="s">
        <v>150</v>
      </c>
      <c r="B80" s="5" t="s">
        <v>20</v>
      </c>
      <c r="C80" s="5" t="s">
        <v>34</v>
      </c>
      <c r="D80" s="5">
        <v>253</v>
      </c>
      <c r="E80" s="19">
        <v>92</v>
      </c>
      <c r="F80" s="19">
        <v>23.26</v>
      </c>
      <c r="G80" s="19">
        <v>31.73</v>
      </c>
      <c r="H80" s="19">
        <v>6.02</v>
      </c>
      <c r="I80" s="19">
        <v>30.07</v>
      </c>
      <c r="J80" s="20">
        <v>46066</v>
      </c>
      <c r="K80" s="20">
        <v>45823</v>
      </c>
      <c r="L80" s="5" t="s">
        <v>35</v>
      </c>
      <c r="M80" s="21" t="s">
        <v>28</v>
      </c>
      <c r="N80" s="22">
        <f t="shared" ca="1" si="8"/>
        <v>0.05</v>
      </c>
      <c r="O80" s="23">
        <f t="shared" ca="1" si="9"/>
        <v>30.1435</v>
      </c>
      <c r="P80" s="19">
        <f>(inventory_data!$D80-inventory_data!$E80)</f>
        <v>161</v>
      </c>
      <c r="Q80" s="36">
        <f t="shared" si="10"/>
        <v>1363.6699999999998</v>
      </c>
      <c r="R80" s="5">
        <f t="shared" ca="1" si="11"/>
        <v>99</v>
      </c>
      <c r="S80" s="5" t="str">
        <f t="shared" ca="1" si="12"/>
        <v>Far Expiry</v>
      </c>
    </row>
    <row r="81" spans="1:19" x14ac:dyDescent="0.3">
      <c r="A81" s="6" t="s">
        <v>151</v>
      </c>
      <c r="B81" s="6" t="s">
        <v>49</v>
      </c>
      <c r="C81" s="6" t="s">
        <v>98</v>
      </c>
      <c r="D81" s="6">
        <v>52</v>
      </c>
      <c r="E81" s="15">
        <v>29</v>
      </c>
      <c r="F81" s="15">
        <v>196.05</v>
      </c>
      <c r="G81" s="15">
        <v>251.46</v>
      </c>
      <c r="H81" s="15">
        <v>9.58</v>
      </c>
      <c r="I81" s="15">
        <v>242.03</v>
      </c>
      <c r="J81" s="16">
        <v>46622</v>
      </c>
      <c r="K81" s="16">
        <v>45795</v>
      </c>
      <c r="L81" s="6" t="s">
        <v>32</v>
      </c>
      <c r="M81" s="1" t="s">
        <v>36</v>
      </c>
      <c r="N81" s="17">
        <f t="shared" ca="1" si="8"/>
        <v>0.05</v>
      </c>
      <c r="O81" s="18">
        <f t="shared" ca="1" si="9"/>
        <v>238.887</v>
      </c>
      <c r="P81" s="15">
        <f>(inventory_data!$D81-inventory_data!$E81)</f>
        <v>23</v>
      </c>
      <c r="Q81" s="36">
        <f t="shared" si="10"/>
        <v>1274.4299999999998</v>
      </c>
      <c r="R81" s="5">
        <f t="shared" ca="1" si="11"/>
        <v>655</v>
      </c>
      <c r="S81" s="5" t="str">
        <f t="shared" ca="1" si="12"/>
        <v>Far Expiry</v>
      </c>
    </row>
    <row r="82" spans="1:19" x14ac:dyDescent="0.3">
      <c r="A82" s="5" t="s">
        <v>152</v>
      </c>
      <c r="B82" s="5" t="s">
        <v>49</v>
      </c>
      <c r="C82" s="5" t="s">
        <v>50</v>
      </c>
      <c r="D82" s="5">
        <v>330</v>
      </c>
      <c r="E82" s="19">
        <v>242</v>
      </c>
      <c r="F82" s="19">
        <v>167.64</v>
      </c>
      <c r="G82" s="19">
        <v>219.65</v>
      </c>
      <c r="H82" s="19">
        <v>9.7100000000000009</v>
      </c>
      <c r="I82" s="19">
        <v>213.48</v>
      </c>
      <c r="J82" s="20">
        <v>46167</v>
      </c>
      <c r="K82" s="20">
        <v>45771</v>
      </c>
      <c r="L82" s="5" t="s">
        <v>51</v>
      </c>
      <c r="M82" s="21" t="s">
        <v>28</v>
      </c>
      <c r="N82" s="22">
        <f t="shared" ca="1" si="8"/>
        <v>0.4</v>
      </c>
      <c r="O82" s="23">
        <f t="shared" ca="1" si="9"/>
        <v>131.79</v>
      </c>
      <c r="P82" s="19">
        <f>(inventory_data!$D82-inventory_data!$E82)</f>
        <v>88</v>
      </c>
      <c r="Q82" s="36">
        <f t="shared" si="10"/>
        <v>4576.8800000000019</v>
      </c>
      <c r="R82" s="5">
        <f t="shared" ca="1" si="11"/>
        <v>200</v>
      </c>
      <c r="S82" s="5" t="str">
        <f t="shared" ca="1" si="12"/>
        <v>Far Expiry</v>
      </c>
    </row>
    <row r="83" spans="1:19" x14ac:dyDescent="0.3">
      <c r="A83" s="6" t="s">
        <v>153</v>
      </c>
      <c r="B83" s="6" t="s">
        <v>49</v>
      </c>
      <c r="C83" s="6" t="s">
        <v>103</v>
      </c>
      <c r="D83" s="6">
        <v>414</v>
      </c>
      <c r="E83" s="15">
        <v>320</v>
      </c>
      <c r="F83" s="15">
        <v>87.84</v>
      </c>
      <c r="G83" s="15">
        <v>118.31</v>
      </c>
      <c r="H83" s="15">
        <v>7.46</v>
      </c>
      <c r="I83" s="15">
        <v>115.16</v>
      </c>
      <c r="J83" s="16">
        <v>46257</v>
      </c>
      <c r="K83" s="16">
        <v>45838</v>
      </c>
      <c r="L83" s="6" t="s">
        <v>32</v>
      </c>
      <c r="M83" s="1" t="s">
        <v>28</v>
      </c>
      <c r="N83" s="17">
        <f t="shared" ca="1" si="8"/>
        <v>0.4</v>
      </c>
      <c r="O83" s="18">
        <f t="shared" ca="1" si="9"/>
        <v>70.986000000000004</v>
      </c>
      <c r="P83" s="15">
        <f>(inventory_data!$D83-inventory_data!$E83)</f>
        <v>94</v>
      </c>
      <c r="Q83" s="36">
        <f t="shared" si="10"/>
        <v>2864.18</v>
      </c>
      <c r="R83" s="5">
        <f t="shared" ca="1" si="11"/>
        <v>290</v>
      </c>
      <c r="S83" s="5" t="str">
        <f t="shared" ca="1" si="12"/>
        <v>Far Expiry</v>
      </c>
    </row>
    <row r="84" spans="1:19" x14ac:dyDescent="0.3">
      <c r="A84" s="5" t="s">
        <v>154</v>
      </c>
      <c r="B84" s="5" t="s">
        <v>55</v>
      </c>
      <c r="C84" s="5" t="s">
        <v>85</v>
      </c>
      <c r="D84" s="5">
        <v>204</v>
      </c>
      <c r="E84" s="19">
        <v>145</v>
      </c>
      <c r="F84" s="19">
        <v>105.56</v>
      </c>
      <c r="G84" s="19">
        <v>152.03</v>
      </c>
      <c r="H84" s="19">
        <v>8.5</v>
      </c>
      <c r="I84" s="19">
        <v>143.69</v>
      </c>
      <c r="J84" s="20">
        <v>46497</v>
      </c>
      <c r="K84" s="20">
        <v>45857</v>
      </c>
      <c r="L84" s="5" t="s">
        <v>86</v>
      </c>
      <c r="M84" s="21" t="s">
        <v>28</v>
      </c>
      <c r="N84" s="22">
        <f t="shared" ca="1" si="8"/>
        <v>0.2</v>
      </c>
      <c r="O84" s="23">
        <f t="shared" ca="1" si="9"/>
        <v>121.62400000000001</v>
      </c>
      <c r="P84" s="19">
        <f>(inventory_data!$D84-inventory_data!$E84)</f>
        <v>59</v>
      </c>
      <c r="Q84" s="36">
        <f t="shared" si="10"/>
        <v>2741.73</v>
      </c>
      <c r="R84" s="5">
        <f t="shared" ca="1" si="11"/>
        <v>530</v>
      </c>
      <c r="S84" s="5" t="str">
        <f t="shared" ca="1" si="12"/>
        <v>Far Expiry</v>
      </c>
    </row>
    <row r="85" spans="1:19" x14ac:dyDescent="0.3">
      <c r="A85" s="6" t="s">
        <v>155</v>
      </c>
      <c r="B85" s="6" t="s">
        <v>63</v>
      </c>
      <c r="C85" s="6" t="s">
        <v>134</v>
      </c>
      <c r="D85" s="6">
        <v>285</v>
      </c>
      <c r="E85" s="15">
        <v>257</v>
      </c>
      <c r="F85" s="15">
        <v>38.200000000000003</v>
      </c>
      <c r="G85" s="15">
        <v>52.34</v>
      </c>
      <c r="H85" s="15">
        <v>8.09</v>
      </c>
      <c r="I85" s="15">
        <v>52.22</v>
      </c>
      <c r="J85" s="16">
        <v>46240</v>
      </c>
      <c r="K85" s="16">
        <v>45853</v>
      </c>
      <c r="L85" s="6" t="s">
        <v>35</v>
      </c>
      <c r="M85" s="1" t="s">
        <v>28</v>
      </c>
      <c r="N85" s="17">
        <f t="shared" ca="1" si="8"/>
        <v>0.4</v>
      </c>
      <c r="O85" s="18">
        <f t="shared" ca="1" si="9"/>
        <v>31.404</v>
      </c>
      <c r="P85" s="15">
        <f>(inventory_data!$D85-inventory_data!$E85)</f>
        <v>28</v>
      </c>
      <c r="Q85" s="36">
        <f t="shared" si="10"/>
        <v>395.92</v>
      </c>
      <c r="R85" s="5">
        <f t="shared" ca="1" si="11"/>
        <v>273</v>
      </c>
      <c r="S85" s="5" t="str">
        <f t="shared" ca="1" si="12"/>
        <v>Far Expiry</v>
      </c>
    </row>
    <row r="86" spans="1:19" x14ac:dyDescent="0.3">
      <c r="A86" s="5" t="s">
        <v>156</v>
      </c>
      <c r="B86" s="5" t="s">
        <v>25</v>
      </c>
      <c r="C86" s="5" t="s">
        <v>47</v>
      </c>
      <c r="D86" s="5">
        <v>139</v>
      </c>
      <c r="E86" s="19">
        <v>67</v>
      </c>
      <c r="F86" s="19">
        <v>134.97</v>
      </c>
      <c r="G86" s="19">
        <v>187.54</v>
      </c>
      <c r="H86" s="19">
        <v>8.4600000000000009</v>
      </c>
      <c r="I86" s="19">
        <v>185.79</v>
      </c>
      <c r="J86" s="20">
        <v>45900</v>
      </c>
      <c r="K86" s="20">
        <v>45856</v>
      </c>
      <c r="L86" s="5" t="s">
        <v>32</v>
      </c>
      <c r="M86" s="21" t="s">
        <v>28</v>
      </c>
      <c r="N86" s="22">
        <f t="shared" ca="1" si="8"/>
        <v>0.4</v>
      </c>
      <c r="O86" s="23">
        <f t="shared" ca="1" si="9"/>
        <v>112.52399999999999</v>
      </c>
      <c r="P86" s="19">
        <f>(inventory_data!$D86-inventory_data!$E86)</f>
        <v>72</v>
      </c>
      <c r="Q86" s="36">
        <f t="shared" si="10"/>
        <v>3785.0399999999995</v>
      </c>
      <c r="R86" s="5">
        <f t="shared" ca="1" si="11"/>
        <v>-67</v>
      </c>
      <c r="S86" s="5" t="str">
        <f t="shared" ca="1" si="12"/>
        <v>Near Expiry</v>
      </c>
    </row>
    <row r="87" spans="1:19" x14ac:dyDescent="0.3">
      <c r="A87" s="6" t="s">
        <v>157</v>
      </c>
      <c r="B87" s="6" t="s">
        <v>49</v>
      </c>
      <c r="C87" s="6" t="s">
        <v>50</v>
      </c>
      <c r="D87" s="6">
        <v>234</v>
      </c>
      <c r="E87" s="15">
        <v>129</v>
      </c>
      <c r="F87" s="15">
        <v>17.43</v>
      </c>
      <c r="G87" s="15">
        <v>23.23</v>
      </c>
      <c r="H87" s="15">
        <v>7.74</v>
      </c>
      <c r="I87" s="15">
        <v>20.73</v>
      </c>
      <c r="J87" s="16">
        <v>46170</v>
      </c>
      <c r="K87" s="16">
        <v>45805</v>
      </c>
      <c r="L87" s="6" t="s">
        <v>51</v>
      </c>
      <c r="M87" s="1" t="s">
        <v>28</v>
      </c>
      <c r="N87" s="17">
        <f t="shared" ca="1" si="8"/>
        <v>0.2</v>
      </c>
      <c r="O87" s="18">
        <f t="shared" ca="1" si="9"/>
        <v>18.584</v>
      </c>
      <c r="P87" s="15">
        <f>(inventory_data!$D87-inventory_data!$E87)</f>
        <v>105</v>
      </c>
      <c r="Q87" s="36">
        <f t="shared" si="10"/>
        <v>609.00000000000011</v>
      </c>
      <c r="R87" s="5">
        <f t="shared" ca="1" si="11"/>
        <v>203</v>
      </c>
      <c r="S87" s="5" t="str">
        <f t="shared" ca="1" si="12"/>
        <v>Far Expiry</v>
      </c>
    </row>
    <row r="88" spans="1:19" x14ac:dyDescent="0.3">
      <c r="A88" s="5" t="s">
        <v>158</v>
      </c>
      <c r="B88" s="5" t="s">
        <v>43</v>
      </c>
      <c r="C88" s="47" t="s">
        <v>159</v>
      </c>
      <c r="D88" s="5">
        <v>350</v>
      </c>
      <c r="E88" s="19">
        <v>252</v>
      </c>
      <c r="F88" s="19">
        <v>92.7</v>
      </c>
      <c r="G88" s="19">
        <v>136.21</v>
      </c>
      <c r="H88" s="19">
        <v>5.39</v>
      </c>
      <c r="I88" s="19">
        <v>134.08000000000001</v>
      </c>
      <c r="J88" s="20">
        <v>46653</v>
      </c>
      <c r="K88" s="20">
        <v>45771</v>
      </c>
      <c r="L88" s="5" t="s">
        <v>45</v>
      </c>
      <c r="M88" s="21" t="s">
        <v>28</v>
      </c>
      <c r="N88" s="22">
        <f t="shared" ca="1" si="8"/>
        <v>0.4</v>
      </c>
      <c r="O88" s="23">
        <f t="shared" ca="1" si="9"/>
        <v>81.725999999999999</v>
      </c>
      <c r="P88" s="19">
        <f>(inventory_data!$D88-inventory_data!$E88)</f>
        <v>98</v>
      </c>
      <c r="Q88" s="36">
        <f t="shared" si="10"/>
        <v>4263.9800000000005</v>
      </c>
      <c r="R88" s="5">
        <f t="shared" ca="1" si="11"/>
        <v>686</v>
      </c>
      <c r="S88" s="5" t="str">
        <f t="shared" ca="1" si="12"/>
        <v>Far Expiry</v>
      </c>
    </row>
    <row r="89" spans="1:19" x14ac:dyDescent="0.3">
      <c r="A89" s="6" t="s">
        <v>160</v>
      </c>
      <c r="B89" s="6" t="s">
        <v>20</v>
      </c>
      <c r="C89" s="6" t="s">
        <v>34</v>
      </c>
      <c r="D89" s="6">
        <v>239</v>
      </c>
      <c r="E89" s="15">
        <v>108</v>
      </c>
      <c r="F89" s="15">
        <v>36.67</v>
      </c>
      <c r="G89" s="15">
        <v>48.15</v>
      </c>
      <c r="H89" s="15">
        <v>9.8000000000000007</v>
      </c>
      <c r="I89" s="15">
        <v>39.700000000000003</v>
      </c>
      <c r="J89" s="16">
        <v>46600</v>
      </c>
      <c r="K89" s="16">
        <v>45828</v>
      </c>
      <c r="L89" s="6" t="s">
        <v>35</v>
      </c>
      <c r="M89" s="1" t="s">
        <v>28</v>
      </c>
      <c r="N89" s="17">
        <f t="shared" ca="1" si="8"/>
        <v>0.2</v>
      </c>
      <c r="O89" s="18">
        <f t="shared" ca="1" si="9"/>
        <v>38.520000000000003</v>
      </c>
      <c r="P89" s="15">
        <f>(inventory_data!$D89-inventory_data!$E89)</f>
        <v>131</v>
      </c>
      <c r="Q89" s="36">
        <f t="shared" si="10"/>
        <v>1503.8799999999997</v>
      </c>
      <c r="R89" s="5">
        <f t="shared" ca="1" si="11"/>
        <v>633</v>
      </c>
      <c r="S89" s="5" t="str">
        <f t="shared" ca="1" si="12"/>
        <v>Far Expiry</v>
      </c>
    </row>
    <row r="90" spans="1:19" x14ac:dyDescent="0.3">
      <c r="A90" s="5" t="s">
        <v>161</v>
      </c>
      <c r="B90" s="5" t="s">
        <v>55</v>
      </c>
      <c r="C90" s="5" t="s">
        <v>85</v>
      </c>
      <c r="D90" s="5">
        <v>252</v>
      </c>
      <c r="E90" s="19">
        <v>113</v>
      </c>
      <c r="F90" s="19">
        <v>89.82</v>
      </c>
      <c r="G90" s="19">
        <v>113.36</v>
      </c>
      <c r="H90" s="19">
        <v>7.5</v>
      </c>
      <c r="I90" s="19">
        <v>112.1</v>
      </c>
      <c r="J90" s="20">
        <v>46132</v>
      </c>
      <c r="K90" s="20">
        <v>45829</v>
      </c>
      <c r="L90" s="5" t="s">
        <v>86</v>
      </c>
      <c r="M90" s="21" t="s">
        <v>28</v>
      </c>
      <c r="N90" s="22">
        <f t="shared" ca="1" si="8"/>
        <v>0.2</v>
      </c>
      <c r="O90" s="23">
        <f t="shared" ca="1" si="9"/>
        <v>90.688000000000002</v>
      </c>
      <c r="P90" s="19">
        <f>(inventory_data!$D90-inventory_data!$E90)</f>
        <v>139</v>
      </c>
      <c r="Q90" s="36">
        <f t="shared" si="10"/>
        <v>3272.0600000000009</v>
      </c>
      <c r="R90" s="5">
        <f t="shared" ca="1" si="11"/>
        <v>165</v>
      </c>
      <c r="S90" s="5" t="str">
        <f t="shared" ca="1" si="12"/>
        <v>Far Expiry</v>
      </c>
    </row>
    <row r="91" spans="1:19" x14ac:dyDescent="0.3">
      <c r="A91" s="6" t="s">
        <v>162</v>
      </c>
      <c r="B91" s="6" t="s">
        <v>55</v>
      </c>
      <c r="C91" s="6" t="s">
        <v>85</v>
      </c>
      <c r="D91" s="6">
        <v>329</v>
      </c>
      <c r="E91" s="15">
        <v>249</v>
      </c>
      <c r="F91" s="15">
        <v>53.25</v>
      </c>
      <c r="G91" s="15">
        <v>67.53</v>
      </c>
      <c r="H91" s="15">
        <v>1.71</v>
      </c>
      <c r="I91" s="15">
        <v>66.260000000000005</v>
      </c>
      <c r="J91" s="16">
        <v>46178</v>
      </c>
      <c r="K91" s="16">
        <v>45788</v>
      </c>
      <c r="L91" s="6" t="s">
        <v>86</v>
      </c>
      <c r="M91" s="1" t="s">
        <v>28</v>
      </c>
      <c r="N91" s="17">
        <f t="shared" ca="1" si="8"/>
        <v>0.4</v>
      </c>
      <c r="O91" s="18">
        <f t="shared" ca="1" si="9"/>
        <v>40.518000000000001</v>
      </c>
      <c r="P91" s="15">
        <f>(inventory_data!$D91-inventory_data!$E91)</f>
        <v>80</v>
      </c>
      <c r="Q91" s="36">
        <f t="shared" si="10"/>
        <v>1142.4000000000001</v>
      </c>
      <c r="R91" s="5">
        <f t="shared" ca="1" si="11"/>
        <v>211</v>
      </c>
      <c r="S91" s="5" t="str">
        <f t="shared" ca="1" si="12"/>
        <v>Far Expiry</v>
      </c>
    </row>
    <row r="92" spans="1:19" x14ac:dyDescent="0.3">
      <c r="A92" s="5" t="s">
        <v>163</v>
      </c>
      <c r="B92" s="5" t="s">
        <v>49</v>
      </c>
      <c r="C92" s="5" t="s">
        <v>98</v>
      </c>
      <c r="D92" s="5">
        <v>179</v>
      </c>
      <c r="E92" s="19">
        <v>91</v>
      </c>
      <c r="F92" s="19">
        <v>32.119999999999997</v>
      </c>
      <c r="G92" s="19">
        <v>46.46</v>
      </c>
      <c r="H92" s="19">
        <v>3.56</v>
      </c>
      <c r="I92" s="19">
        <v>44.3</v>
      </c>
      <c r="J92" s="20">
        <v>46624</v>
      </c>
      <c r="K92" s="20">
        <v>45826</v>
      </c>
      <c r="L92" s="5" t="s">
        <v>32</v>
      </c>
      <c r="M92" s="21" t="s">
        <v>28</v>
      </c>
      <c r="N92" s="22">
        <f t="shared" ca="1" si="8"/>
        <v>0.05</v>
      </c>
      <c r="O92" s="23">
        <f t="shared" ca="1" si="9"/>
        <v>44.137</v>
      </c>
      <c r="P92" s="19">
        <f>(inventory_data!$D92-inventory_data!$E92)</f>
        <v>88</v>
      </c>
      <c r="Q92" s="36">
        <f t="shared" si="10"/>
        <v>1261.9200000000003</v>
      </c>
      <c r="R92" s="5">
        <f t="shared" ca="1" si="11"/>
        <v>657</v>
      </c>
      <c r="S92" s="5" t="str">
        <f t="shared" ca="1" si="12"/>
        <v>Far Expiry</v>
      </c>
    </row>
    <row r="93" spans="1:19" x14ac:dyDescent="0.3">
      <c r="A93" s="6" t="s">
        <v>164</v>
      </c>
      <c r="B93" s="6" t="s">
        <v>25</v>
      </c>
      <c r="C93" s="6" t="s">
        <v>26</v>
      </c>
      <c r="D93" s="6">
        <v>137</v>
      </c>
      <c r="E93" s="15">
        <v>72</v>
      </c>
      <c r="F93" s="15">
        <v>164.51</v>
      </c>
      <c r="G93" s="15">
        <v>209.04</v>
      </c>
      <c r="H93" s="15">
        <v>6.68</v>
      </c>
      <c r="I93" s="15">
        <v>202.41</v>
      </c>
      <c r="J93" s="16">
        <v>45900</v>
      </c>
      <c r="K93" s="16">
        <v>45815</v>
      </c>
      <c r="L93" s="6" t="s">
        <v>27</v>
      </c>
      <c r="M93" s="1" t="s">
        <v>36</v>
      </c>
      <c r="N93" s="17">
        <f t="shared" ca="1" si="8"/>
        <v>0.4</v>
      </c>
      <c r="O93" s="18">
        <f t="shared" ca="1" si="9"/>
        <v>125.42399999999999</v>
      </c>
      <c r="P93" s="15">
        <f>(inventory_data!$D93-inventory_data!$E93)</f>
        <v>65</v>
      </c>
      <c r="Q93" s="36">
        <f t="shared" si="10"/>
        <v>2894.4500000000003</v>
      </c>
      <c r="R93" s="5">
        <f t="shared" ca="1" si="11"/>
        <v>-67</v>
      </c>
      <c r="S93" s="5" t="str">
        <f t="shared" ca="1" si="12"/>
        <v>Near Expiry</v>
      </c>
    </row>
    <row r="94" spans="1:19" x14ac:dyDescent="0.3">
      <c r="A94" s="5" t="s">
        <v>165</v>
      </c>
      <c r="B94" s="5" t="s">
        <v>38</v>
      </c>
      <c r="C94" s="5" t="s">
        <v>39</v>
      </c>
      <c r="D94" s="5">
        <v>488</v>
      </c>
      <c r="E94" s="19">
        <v>413</v>
      </c>
      <c r="F94" s="19">
        <v>102.05</v>
      </c>
      <c r="G94" s="19">
        <v>144.96</v>
      </c>
      <c r="H94" s="19">
        <v>9.61</v>
      </c>
      <c r="I94" s="19">
        <v>135.52000000000001</v>
      </c>
      <c r="J94" s="20">
        <v>46389</v>
      </c>
      <c r="K94" s="20">
        <v>45834</v>
      </c>
      <c r="L94" s="5" t="s">
        <v>40</v>
      </c>
      <c r="M94" s="21" t="s">
        <v>28</v>
      </c>
      <c r="N94" s="22">
        <f t="shared" ca="1" si="8"/>
        <v>0.4</v>
      </c>
      <c r="O94" s="23">
        <f t="shared" ca="1" si="9"/>
        <v>86.975999999999999</v>
      </c>
      <c r="P94" s="19">
        <f>(inventory_data!$D94-inventory_data!$E94)</f>
        <v>75</v>
      </c>
      <c r="Q94" s="36">
        <f t="shared" si="10"/>
        <v>3218.2500000000009</v>
      </c>
      <c r="R94" s="5">
        <f t="shared" ca="1" si="11"/>
        <v>422</v>
      </c>
      <c r="S94" s="5" t="str">
        <f t="shared" ca="1" si="12"/>
        <v>Far Expiry</v>
      </c>
    </row>
    <row r="95" spans="1:19" x14ac:dyDescent="0.3">
      <c r="A95" s="6" t="s">
        <v>166</v>
      </c>
      <c r="B95" s="6" t="s">
        <v>20</v>
      </c>
      <c r="C95" s="6" t="s">
        <v>21</v>
      </c>
      <c r="D95" s="6">
        <v>359</v>
      </c>
      <c r="E95" s="15">
        <v>258</v>
      </c>
      <c r="F95" s="15">
        <v>67.959999999999994</v>
      </c>
      <c r="G95" s="15">
        <v>93.21</v>
      </c>
      <c r="H95" s="15">
        <v>5.62</v>
      </c>
      <c r="I95" s="15">
        <v>88</v>
      </c>
      <c r="J95" s="16">
        <v>46497</v>
      </c>
      <c r="K95" s="16">
        <v>45748</v>
      </c>
      <c r="L95" s="6" t="s">
        <v>22</v>
      </c>
      <c r="M95" s="1" t="s">
        <v>28</v>
      </c>
      <c r="N95" s="17">
        <f t="shared" ca="1" si="8"/>
        <v>0.4</v>
      </c>
      <c r="O95" s="18">
        <f t="shared" ca="1" si="9"/>
        <v>55.925999999999995</v>
      </c>
      <c r="P95" s="15">
        <f>(inventory_data!$D95-inventory_data!$E95)</f>
        <v>101</v>
      </c>
      <c r="Q95" s="36">
        <f t="shared" si="10"/>
        <v>2550.25</v>
      </c>
      <c r="R95" s="5">
        <f t="shared" ca="1" si="11"/>
        <v>530</v>
      </c>
      <c r="S95" s="5" t="str">
        <f t="shared" ca="1" si="12"/>
        <v>Far Expiry</v>
      </c>
    </row>
    <row r="96" spans="1:19" x14ac:dyDescent="0.3">
      <c r="A96" s="5" t="s">
        <v>167</v>
      </c>
      <c r="B96" s="5" t="s">
        <v>25</v>
      </c>
      <c r="C96" s="5" t="s">
        <v>26</v>
      </c>
      <c r="D96" s="5">
        <v>124</v>
      </c>
      <c r="E96" s="19">
        <v>86</v>
      </c>
      <c r="F96" s="19">
        <v>72.23</v>
      </c>
      <c r="G96" s="19">
        <v>102.34</v>
      </c>
      <c r="H96" s="19">
        <v>1.53</v>
      </c>
      <c r="I96" s="19">
        <v>101.03</v>
      </c>
      <c r="J96" s="20">
        <v>46558</v>
      </c>
      <c r="K96" s="20">
        <v>45791</v>
      </c>
      <c r="L96" s="5" t="s">
        <v>27</v>
      </c>
      <c r="M96" s="21" t="s">
        <v>28</v>
      </c>
      <c r="N96" s="22">
        <f t="shared" ca="1" si="8"/>
        <v>0.05</v>
      </c>
      <c r="O96" s="23">
        <f t="shared" ca="1" si="9"/>
        <v>97.222999999999999</v>
      </c>
      <c r="P96" s="19">
        <f>(inventory_data!$D96-inventory_data!$E96)</f>
        <v>38</v>
      </c>
      <c r="Q96" s="36">
        <f t="shared" si="10"/>
        <v>1144.18</v>
      </c>
      <c r="R96" s="5">
        <f t="shared" ca="1" si="11"/>
        <v>591</v>
      </c>
      <c r="S96" s="5" t="str">
        <f t="shared" ca="1" si="12"/>
        <v>Far Expiry</v>
      </c>
    </row>
    <row r="97" spans="1:19" x14ac:dyDescent="0.3">
      <c r="A97" s="6" t="s">
        <v>168</v>
      </c>
      <c r="B97" s="6" t="s">
        <v>43</v>
      </c>
      <c r="C97" s="2" t="s">
        <v>169</v>
      </c>
      <c r="D97" s="6">
        <v>417</v>
      </c>
      <c r="E97" s="15">
        <v>25</v>
      </c>
      <c r="F97" s="15">
        <v>127.97</v>
      </c>
      <c r="G97" s="15">
        <v>176.07</v>
      </c>
      <c r="H97" s="15">
        <v>9.61</v>
      </c>
      <c r="I97" s="15">
        <v>175.59</v>
      </c>
      <c r="J97" s="16">
        <v>45930</v>
      </c>
      <c r="K97" s="16">
        <v>45772</v>
      </c>
      <c r="L97" s="6" t="s">
        <v>45</v>
      </c>
      <c r="M97" s="1" t="s">
        <v>36</v>
      </c>
      <c r="N97" s="17">
        <f t="shared" ca="1" si="8"/>
        <v>0.4</v>
      </c>
      <c r="O97" s="18">
        <f t="shared" ca="1" si="9"/>
        <v>105.642</v>
      </c>
      <c r="P97" s="15">
        <f>(inventory_data!$D97-inventory_data!$E97)</f>
        <v>392</v>
      </c>
      <c r="Q97" s="36">
        <f t="shared" si="10"/>
        <v>18855.199999999997</v>
      </c>
      <c r="R97" s="5">
        <f t="shared" ca="1" si="11"/>
        <v>-37</v>
      </c>
      <c r="S97" s="5" t="str">
        <f t="shared" ca="1" si="12"/>
        <v>Near Expiry</v>
      </c>
    </row>
    <row r="98" spans="1:19" x14ac:dyDescent="0.3">
      <c r="A98" s="5" t="s">
        <v>170</v>
      </c>
      <c r="B98" s="5" t="s">
        <v>20</v>
      </c>
      <c r="C98" s="5" t="s">
        <v>106</v>
      </c>
      <c r="D98" s="5">
        <v>203</v>
      </c>
      <c r="E98" s="19">
        <v>49</v>
      </c>
      <c r="F98" s="19">
        <v>22.77</v>
      </c>
      <c r="G98" s="19">
        <v>29.35</v>
      </c>
      <c r="H98" s="19">
        <v>8.4499999999999993</v>
      </c>
      <c r="I98" s="19">
        <v>27.95</v>
      </c>
      <c r="J98" s="20">
        <v>46242</v>
      </c>
      <c r="K98" s="20">
        <v>45823</v>
      </c>
      <c r="L98" s="5" t="s">
        <v>68</v>
      </c>
      <c r="M98" s="21" t="s">
        <v>36</v>
      </c>
      <c r="N98" s="22">
        <f t="shared" ref="N98:N129" ca="1" si="13">IF(OR(E98&gt;200,J98&lt;=TODAY()+30),0.4,
   IF(OR(AND(E98&gt;=100,E98&lt;=200),J98&lt;=TODAY()+90),0.2,0.05))</f>
        <v>0.05</v>
      </c>
      <c r="O98" s="23">
        <f t="shared" ref="O98:O129" ca="1" si="14">G98*(1-N98)</f>
        <v>27.8825</v>
      </c>
      <c r="P98" s="19">
        <f>(inventory_data!$D98-inventory_data!$E98)</f>
        <v>154</v>
      </c>
      <c r="Q98" s="36">
        <f t="shared" ref="Q98:Q129" si="15">(G98-F98)*P98</f>
        <v>1013.3200000000003</v>
      </c>
      <c r="R98" s="5">
        <f t="shared" ca="1" si="11"/>
        <v>275</v>
      </c>
      <c r="S98" s="5" t="str">
        <f t="shared" ca="1" si="12"/>
        <v>Far Expiry</v>
      </c>
    </row>
    <row r="99" spans="1:19" x14ac:dyDescent="0.3">
      <c r="A99" s="6" t="s">
        <v>171</v>
      </c>
      <c r="B99" s="6" t="s">
        <v>55</v>
      </c>
      <c r="C99" s="6" t="s">
        <v>56</v>
      </c>
      <c r="D99" s="6">
        <v>234</v>
      </c>
      <c r="E99" s="15">
        <v>171</v>
      </c>
      <c r="F99" s="15">
        <v>148.66999999999999</v>
      </c>
      <c r="G99" s="15">
        <v>198.54</v>
      </c>
      <c r="H99" s="15">
        <v>5.28</v>
      </c>
      <c r="I99" s="15">
        <v>194.19</v>
      </c>
      <c r="J99" s="16">
        <v>45947</v>
      </c>
      <c r="K99" s="16">
        <v>45796</v>
      </c>
      <c r="L99" s="6" t="s">
        <v>57</v>
      </c>
      <c r="M99" s="1" t="s">
        <v>28</v>
      </c>
      <c r="N99" s="17">
        <f t="shared" ca="1" si="13"/>
        <v>0.4</v>
      </c>
      <c r="O99" s="18">
        <f t="shared" ca="1" si="14"/>
        <v>119.124</v>
      </c>
      <c r="P99" s="15">
        <f>(inventory_data!$D99-inventory_data!$E99)</f>
        <v>63</v>
      </c>
      <c r="Q99" s="36">
        <f t="shared" si="15"/>
        <v>3141.8100000000004</v>
      </c>
      <c r="R99" s="5">
        <f t="shared" ca="1" si="11"/>
        <v>-20</v>
      </c>
      <c r="S99" s="5" t="str">
        <f t="shared" ca="1" si="12"/>
        <v>Near Expiry</v>
      </c>
    </row>
    <row r="100" spans="1:19" x14ac:dyDescent="0.3">
      <c r="A100" s="5" t="s">
        <v>172</v>
      </c>
      <c r="B100" s="5" t="s">
        <v>55</v>
      </c>
      <c r="C100" s="5" t="s">
        <v>93</v>
      </c>
      <c r="D100" s="5">
        <v>142</v>
      </c>
      <c r="E100" s="19">
        <v>72</v>
      </c>
      <c r="F100" s="19">
        <v>124.38</v>
      </c>
      <c r="G100" s="19">
        <v>166.52</v>
      </c>
      <c r="H100" s="19">
        <v>9.01</v>
      </c>
      <c r="I100" s="19">
        <v>161.91999999999999</v>
      </c>
      <c r="J100" s="20">
        <v>46622</v>
      </c>
      <c r="K100" s="20">
        <v>45809</v>
      </c>
      <c r="L100" s="5" t="s">
        <v>86</v>
      </c>
      <c r="M100" s="21" t="s">
        <v>36</v>
      </c>
      <c r="N100" s="22">
        <f t="shared" ca="1" si="13"/>
        <v>0.05</v>
      </c>
      <c r="O100" s="23">
        <f t="shared" ca="1" si="14"/>
        <v>158.19399999999999</v>
      </c>
      <c r="P100" s="19">
        <f>(inventory_data!$D100-inventory_data!$E100)</f>
        <v>70</v>
      </c>
      <c r="Q100" s="36">
        <f t="shared" si="15"/>
        <v>2949.8000000000011</v>
      </c>
      <c r="R100" s="5">
        <f t="shared" ca="1" si="11"/>
        <v>655</v>
      </c>
      <c r="S100" s="5" t="str">
        <f t="shared" ca="1" si="12"/>
        <v>Far Expiry</v>
      </c>
    </row>
    <row r="101" spans="1:19" x14ac:dyDescent="0.3">
      <c r="A101" s="6" t="s">
        <v>173</v>
      </c>
      <c r="B101" s="6" t="s">
        <v>25</v>
      </c>
      <c r="C101" s="6" t="s">
        <v>47</v>
      </c>
      <c r="D101" s="6">
        <v>411</v>
      </c>
      <c r="E101" s="15">
        <v>246</v>
      </c>
      <c r="F101" s="15">
        <v>184.84</v>
      </c>
      <c r="G101" s="15">
        <v>236.32</v>
      </c>
      <c r="H101" s="15">
        <v>8.86</v>
      </c>
      <c r="I101" s="15">
        <v>232.74</v>
      </c>
      <c r="J101" s="16">
        <v>46584</v>
      </c>
      <c r="K101" s="16">
        <v>45837</v>
      </c>
      <c r="L101" s="6" t="s">
        <v>32</v>
      </c>
      <c r="M101" s="1" t="s">
        <v>28</v>
      </c>
      <c r="N101" s="17">
        <f t="shared" ca="1" si="13"/>
        <v>0.4</v>
      </c>
      <c r="O101" s="18">
        <f t="shared" ca="1" si="14"/>
        <v>141.792</v>
      </c>
      <c r="P101" s="15">
        <f>(inventory_data!$D101-inventory_data!$E101)</f>
        <v>165</v>
      </c>
      <c r="Q101" s="36">
        <f t="shared" si="15"/>
        <v>8494.1999999999989</v>
      </c>
      <c r="R101" s="5">
        <f t="shared" ca="1" si="11"/>
        <v>617</v>
      </c>
      <c r="S101" s="5" t="str">
        <f t="shared" ca="1" si="12"/>
        <v>Far Expiry</v>
      </c>
    </row>
    <row r="102" spans="1:19" x14ac:dyDescent="0.3">
      <c r="A102" s="5" t="s">
        <v>174</v>
      </c>
      <c r="B102" s="5" t="s">
        <v>63</v>
      </c>
      <c r="C102" s="5" t="s">
        <v>134</v>
      </c>
      <c r="D102" s="5">
        <v>307</v>
      </c>
      <c r="E102" s="19">
        <v>140</v>
      </c>
      <c r="F102" s="19">
        <v>43.77</v>
      </c>
      <c r="G102" s="19">
        <v>52.76</v>
      </c>
      <c r="H102" s="19">
        <v>6.75</v>
      </c>
      <c r="I102" s="19">
        <v>46.68</v>
      </c>
      <c r="J102" s="20">
        <v>46286</v>
      </c>
      <c r="K102" s="20">
        <v>45845</v>
      </c>
      <c r="L102" s="5" t="s">
        <v>35</v>
      </c>
      <c r="M102" s="21" t="s">
        <v>28</v>
      </c>
      <c r="N102" s="22">
        <f t="shared" ca="1" si="13"/>
        <v>0.2</v>
      </c>
      <c r="O102" s="23">
        <f t="shared" ca="1" si="14"/>
        <v>42.207999999999998</v>
      </c>
      <c r="P102" s="19">
        <f>(inventory_data!$D102-inventory_data!$E102)</f>
        <v>167</v>
      </c>
      <c r="Q102" s="36">
        <f t="shared" si="15"/>
        <v>1501.3299999999992</v>
      </c>
      <c r="R102" s="5">
        <f t="shared" ca="1" si="11"/>
        <v>319</v>
      </c>
      <c r="S102" s="5" t="str">
        <f t="shared" ca="1" si="12"/>
        <v>Far Expiry</v>
      </c>
    </row>
    <row r="103" spans="1:19" x14ac:dyDescent="0.3">
      <c r="A103" s="6" t="s">
        <v>175</v>
      </c>
      <c r="B103" s="6" t="s">
        <v>55</v>
      </c>
      <c r="C103" s="6" t="s">
        <v>85</v>
      </c>
      <c r="D103" s="6">
        <v>329</v>
      </c>
      <c r="E103" s="15">
        <v>6</v>
      </c>
      <c r="F103" s="15">
        <v>198.61</v>
      </c>
      <c r="G103" s="15">
        <v>277.48</v>
      </c>
      <c r="H103" s="15">
        <v>5.7</v>
      </c>
      <c r="I103" s="15">
        <v>272.04000000000002</v>
      </c>
      <c r="J103" s="16">
        <v>46361</v>
      </c>
      <c r="K103" s="16">
        <v>45811</v>
      </c>
      <c r="L103" s="6" t="s">
        <v>86</v>
      </c>
      <c r="M103" s="1" t="s">
        <v>36</v>
      </c>
      <c r="N103" s="17">
        <f t="shared" ca="1" si="13"/>
        <v>0.05</v>
      </c>
      <c r="O103" s="18">
        <f t="shared" ca="1" si="14"/>
        <v>263.60599999999999</v>
      </c>
      <c r="P103" s="15">
        <f>(inventory_data!$D103-inventory_data!$E103)</f>
        <v>323</v>
      </c>
      <c r="Q103" s="36">
        <f t="shared" si="15"/>
        <v>25475.010000000002</v>
      </c>
      <c r="R103" s="5">
        <f t="shared" ca="1" si="11"/>
        <v>394</v>
      </c>
      <c r="S103" s="5" t="str">
        <f t="shared" ca="1" si="12"/>
        <v>Far Expiry</v>
      </c>
    </row>
    <row r="104" spans="1:19" x14ac:dyDescent="0.3">
      <c r="A104" s="5" t="s">
        <v>176</v>
      </c>
      <c r="B104" s="5" t="s">
        <v>63</v>
      </c>
      <c r="C104" s="5" t="s">
        <v>134</v>
      </c>
      <c r="D104" s="5">
        <v>430</v>
      </c>
      <c r="E104" s="19">
        <v>141</v>
      </c>
      <c r="F104" s="19">
        <v>161.94</v>
      </c>
      <c r="G104" s="19">
        <v>219.24</v>
      </c>
      <c r="H104" s="19">
        <v>9.4700000000000006</v>
      </c>
      <c r="I104" s="19">
        <v>214.18</v>
      </c>
      <c r="J104" s="20">
        <v>46314</v>
      </c>
      <c r="K104" s="20">
        <v>45795</v>
      </c>
      <c r="L104" s="5" t="s">
        <v>35</v>
      </c>
      <c r="M104" s="21" t="s">
        <v>28</v>
      </c>
      <c r="N104" s="22">
        <f t="shared" ca="1" si="13"/>
        <v>0.2</v>
      </c>
      <c r="O104" s="23">
        <f t="shared" ca="1" si="14"/>
        <v>175.39200000000002</v>
      </c>
      <c r="P104" s="19">
        <f>(inventory_data!$D104-inventory_data!$E104)</f>
        <v>289</v>
      </c>
      <c r="Q104" s="36">
        <f t="shared" si="15"/>
        <v>16559.700000000004</v>
      </c>
      <c r="R104" s="5">
        <f t="shared" ca="1" si="11"/>
        <v>347</v>
      </c>
      <c r="S104" s="5" t="str">
        <f t="shared" ca="1" si="12"/>
        <v>Far Expiry</v>
      </c>
    </row>
    <row r="105" spans="1:19" x14ac:dyDescent="0.3">
      <c r="A105" s="6" t="s">
        <v>177</v>
      </c>
      <c r="B105" s="6" t="s">
        <v>20</v>
      </c>
      <c r="C105" s="6" t="s">
        <v>106</v>
      </c>
      <c r="D105" s="6">
        <v>214</v>
      </c>
      <c r="E105" s="15">
        <v>179</v>
      </c>
      <c r="F105" s="15">
        <v>186.06</v>
      </c>
      <c r="G105" s="15">
        <v>265.27999999999997</v>
      </c>
      <c r="H105" s="15">
        <v>2.9</v>
      </c>
      <c r="I105" s="15">
        <v>263.97000000000003</v>
      </c>
      <c r="J105" s="16">
        <v>46584</v>
      </c>
      <c r="K105" s="16">
        <v>45860</v>
      </c>
      <c r="L105" s="6" t="s">
        <v>68</v>
      </c>
      <c r="M105" s="1" t="s">
        <v>28</v>
      </c>
      <c r="N105" s="17">
        <f t="shared" ca="1" si="13"/>
        <v>0.2</v>
      </c>
      <c r="O105" s="18">
        <f t="shared" ca="1" si="14"/>
        <v>212.22399999999999</v>
      </c>
      <c r="P105" s="15">
        <f>(inventory_data!$D105-inventory_data!$E105)</f>
        <v>35</v>
      </c>
      <c r="Q105" s="36">
        <f t="shared" si="15"/>
        <v>2772.6999999999989</v>
      </c>
      <c r="R105" s="5">
        <f t="shared" ca="1" si="11"/>
        <v>617</v>
      </c>
      <c r="S105" s="5" t="str">
        <f t="shared" ca="1" si="12"/>
        <v>Far Expiry</v>
      </c>
    </row>
    <row r="106" spans="1:19" x14ac:dyDescent="0.3">
      <c r="A106" s="5" t="s">
        <v>178</v>
      </c>
      <c r="B106" s="5" t="s">
        <v>49</v>
      </c>
      <c r="C106" s="5" t="s">
        <v>50</v>
      </c>
      <c r="D106" s="5">
        <v>266</v>
      </c>
      <c r="E106" s="19">
        <v>12</v>
      </c>
      <c r="F106" s="19">
        <v>198.88</v>
      </c>
      <c r="G106" s="19">
        <v>297.36</v>
      </c>
      <c r="H106" s="19">
        <v>6.45</v>
      </c>
      <c r="I106" s="19">
        <v>296.49</v>
      </c>
      <c r="J106" s="20">
        <v>46606</v>
      </c>
      <c r="K106" s="20">
        <v>45788</v>
      </c>
      <c r="L106" s="5" t="s">
        <v>51</v>
      </c>
      <c r="M106" s="21" t="s">
        <v>36</v>
      </c>
      <c r="N106" s="22">
        <f t="shared" ca="1" si="13"/>
        <v>0.05</v>
      </c>
      <c r="O106" s="23">
        <f t="shared" ca="1" si="14"/>
        <v>282.49200000000002</v>
      </c>
      <c r="P106" s="19">
        <f>(inventory_data!$D106-inventory_data!$E106)</f>
        <v>254</v>
      </c>
      <c r="Q106" s="36">
        <f t="shared" si="15"/>
        <v>25013.920000000006</v>
      </c>
      <c r="R106" s="5">
        <f t="shared" ca="1" si="11"/>
        <v>639</v>
      </c>
      <c r="S106" s="5" t="str">
        <f t="shared" ca="1" si="12"/>
        <v>Far Expiry</v>
      </c>
    </row>
    <row r="107" spans="1:19" x14ac:dyDescent="0.3">
      <c r="A107" s="6" t="s">
        <v>179</v>
      </c>
      <c r="B107" s="6" t="s">
        <v>20</v>
      </c>
      <c r="C107" s="6" t="s">
        <v>106</v>
      </c>
      <c r="D107" s="6">
        <v>332</v>
      </c>
      <c r="E107" s="15">
        <v>150</v>
      </c>
      <c r="F107" s="15">
        <v>197.35</v>
      </c>
      <c r="G107" s="15">
        <v>291.61</v>
      </c>
      <c r="H107" s="15">
        <v>6.07</v>
      </c>
      <c r="I107" s="15">
        <v>285.66000000000003</v>
      </c>
      <c r="J107" s="16">
        <v>46069</v>
      </c>
      <c r="K107" s="16">
        <v>45791</v>
      </c>
      <c r="L107" s="6" t="s">
        <v>68</v>
      </c>
      <c r="M107" s="1" t="s">
        <v>28</v>
      </c>
      <c r="N107" s="17">
        <f t="shared" ca="1" si="13"/>
        <v>0.2</v>
      </c>
      <c r="O107" s="18">
        <f t="shared" ca="1" si="14"/>
        <v>233.28800000000001</v>
      </c>
      <c r="P107" s="15">
        <f>(inventory_data!$D107-inventory_data!$E107)</f>
        <v>182</v>
      </c>
      <c r="Q107" s="36">
        <f t="shared" si="15"/>
        <v>17155.320000000003</v>
      </c>
      <c r="R107" s="5">
        <f t="shared" ca="1" si="11"/>
        <v>102</v>
      </c>
      <c r="S107" s="5" t="str">
        <f t="shared" ca="1" si="12"/>
        <v>Far Expiry</v>
      </c>
    </row>
    <row r="108" spans="1:19" x14ac:dyDescent="0.3">
      <c r="A108" s="5" t="s">
        <v>180</v>
      </c>
      <c r="B108" s="5" t="s">
        <v>63</v>
      </c>
      <c r="C108" s="5" t="s">
        <v>134</v>
      </c>
      <c r="D108" s="5">
        <v>462</v>
      </c>
      <c r="E108" s="19">
        <v>40</v>
      </c>
      <c r="F108" s="19">
        <v>46.76</v>
      </c>
      <c r="G108" s="19">
        <v>58.53</v>
      </c>
      <c r="H108" s="19">
        <v>8.4499999999999993</v>
      </c>
      <c r="I108" s="19">
        <v>55.04</v>
      </c>
      <c r="J108" s="20">
        <v>46225</v>
      </c>
      <c r="K108" s="20">
        <v>45832</v>
      </c>
      <c r="L108" s="5" t="s">
        <v>35</v>
      </c>
      <c r="M108" s="21" t="s">
        <v>36</v>
      </c>
      <c r="N108" s="22">
        <f t="shared" ca="1" si="13"/>
        <v>0.05</v>
      </c>
      <c r="O108" s="23">
        <f t="shared" ca="1" si="14"/>
        <v>55.603499999999997</v>
      </c>
      <c r="P108" s="19">
        <f>(inventory_data!$D108-inventory_data!$E108)</f>
        <v>422</v>
      </c>
      <c r="Q108" s="36">
        <f t="shared" si="15"/>
        <v>4966.9400000000014</v>
      </c>
      <c r="R108" s="5">
        <f t="shared" ca="1" si="11"/>
        <v>258</v>
      </c>
      <c r="S108" s="5" t="str">
        <f t="shared" ca="1" si="12"/>
        <v>Far Expiry</v>
      </c>
    </row>
    <row r="109" spans="1:19" x14ac:dyDescent="0.3">
      <c r="A109" s="6" t="s">
        <v>181</v>
      </c>
      <c r="B109" s="6" t="s">
        <v>20</v>
      </c>
      <c r="C109" s="6" t="s">
        <v>21</v>
      </c>
      <c r="D109" s="6">
        <v>130</v>
      </c>
      <c r="E109" s="15">
        <v>25</v>
      </c>
      <c r="F109" s="15">
        <v>133.69999999999999</v>
      </c>
      <c r="G109" s="15">
        <v>193.24</v>
      </c>
      <c r="H109" s="15">
        <v>4.59</v>
      </c>
      <c r="I109" s="15">
        <v>188.82</v>
      </c>
      <c r="J109" s="16">
        <v>46089</v>
      </c>
      <c r="K109" s="16">
        <v>45825</v>
      </c>
      <c r="L109" s="6" t="s">
        <v>22</v>
      </c>
      <c r="M109" s="1" t="s">
        <v>36</v>
      </c>
      <c r="N109" s="17">
        <f t="shared" ca="1" si="13"/>
        <v>0.05</v>
      </c>
      <c r="O109" s="18">
        <f t="shared" ca="1" si="14"/>
        <v>183.578</v>
      </c>
      <c r="P109" s="15">
        <f>(inventory_data!$D109-inventory_data!$E109)</f>
        <v>105</v>
      </c>
      <c r="Q109" s="36">
        <f t="shared" si="15"/>
        <v>6251.7000000000025</v>
      </c>
      <c r="R109" s="5">
        <f t="shared" ca="1" si="11"/>
        <v>122</v>
      </c>
      <c r="S109" s="5" t="str">
        <f t="shared" ca="1" si="12"/>
        <v>Far Expiry</v>
      </c>
    </row>
    <row r="110" spans="1:19" x14ac:dyDescent="0.3">
      <c r="A110" s="5" t="s">
        <v>182</v>
      </c>
      <c r="B110" s="5" t="s">
        <v>63</v>
      </c>
      <c r="C110" s="5" t="s">
        <v>134</v>
      </c>
      <c r="D110" s="5">
        <v>296</v>
      </c>
      <c r="E110" s="19">
        <v>20</v>
      </c>
      <c r="F110" s="19">
        <v>134.82</v>
      </c>
      <c r="G110" s="19">
        <v>162.66999999999999</v>
      </c>
      <c r="H110" s="19">
        <v>8.19</v>
      </c>
      <c r="I110" s="19">
        <v>161.41999999999999</v>
      </c>
      <c r="J110" s="20">
        <v>46285</v>
      </c>
      <c r="K110" s="20">
        <v>45759</v>
      </c>
      <c r="L110" s="5" t="s">
        <v>35</v>
      </c>
      <c r="M110" s="21" t="s">
        <v>36</v>
      </c>
      <c r="N110" s="22">
        <f t="shared" ca="1" si="13"/>
        <v>0.05</v>
      </c>
      <c r="O110" s="23">
        <f t="shared" ca="1" si="14"/>
        <v>154.53649999999999</v>
      </c>
      <c r="P110" s="19">
        <f>(inventory_data!$D110-inventory_data!$E110)</f>
        <v>276</v>
      </c>
      <c r="Q110" s="36">
        <f t="shared" si="15"/>
        <v>7686.5999999999985</v>
      </c>
      <c r="R110" s="5">
        <f t="shared" ca="1" si="11"/>
        <v>318</v>
      </c>
      <c r="S110" s="5" t="str">
        <f t="shared" ca="1" si="12"/>
        <v>Far Expiry</v>
      </c>
    </row>
    <row r="111" spans="1:19" x14ac:dyDescent="0.3">
      <c r="A111" s="6" t="s">
        <v>183</v>
      </c>
      <c r="B111" s="6" t="s">
        <v>25</v>
      </c>
      <c r="C111" s="6" t="s">
        <v>90</v>
      </c>
      <c r="D111" s="6">
        <v>484</v>
      </c>
      <c r="E111" s="15">
        <v>66</v>
      </c>
      <c r="F111" s="15">
        <v>149.56</v>
      </c>
      <c r="G111" s="15">
        <v>221.85</v>
      </c>
      <c r="H111" s="15">
        <v>6.59</v>
      </c>
      <c r="I111" s="15">
        <v>217.71</v>
      </c>
      <c r="J111" s="16">
        <v>46524</v>
      </c>
      <c r="K111" s="16">
        <v>45820</v>
      </c>
      <c r="L111" s="6" t="s">
        <v>27</v>
      </c>
      <c r="M111" s="1" t="s">
        <v>36</v>
      </c>
      <c r="N111" s="17">
        <f t="shared" ca="1" si="13"/>
        <v>0.05</v>
      </c>
      <c r="O111" s="18">
        <f t="shared" ca="1" si="14"/>
        <v>210.75749999999999</v>
      </c>
      <c r="P111" s="15">
        <f>(inventory_data!$D111-inventory_data!$E111)</f>
        <v>418</v>
      </c>
      <c r="Q111" s="36">
        <f t="shared" si="15"/>
        <v>30217.219999999998</v>
      </c>
      <c r="R111" s="5">
        <f t="shared" ca="1" si="11"/>
        <v>557</v>
      </c>
      <c r="S111" s="5" t="str">
        <f t="shared" ca="1" si="12"/>
        <v>Far Expiry</v>
      </c>
    </row>
    <row r="112" spans="1:19" x14ac:dyDescent="0.3">
      <c r="A112" s="5" t="s">
        <v>184</v>
      </c>
      <c r="B112" s="5" t="s">
        <v>63</v>
      </c>
      <c r="C112" s="5" t="s">
        <v>134</v>
      </c>
      <c r="D112" s="5">
        <v>306</v>
      </c>
      <c r="E112" s="19">
        <v>6</v>
      </c>
      <c r="F112" s="19">
        <v>84.92</v>
      </c>
      <c r="G112" s="19">
        <v>126.67</v>
      </c>
      <c r="H112" s="19">
        <v>7.52</v>
      </c>
      <c r="I112" s="19">
        <v>123.14</v>
      </c>
      <c r="J112" s="20">
        <v>46158</v>
      </c>
      <c r="K112" s="20">
        <v>45852</v>
      </c>
      <c r="L112" s="5" t="s">
        <v>35</v>
      </c>
      <c r="M112" s="21" t="s">
        <v>36</v>
      </c>
      <c r="N112" s="22">
        <f t="shared" ca="1" si="13"/>
        <v>0.05</v>
      </c>
      <c r="O112" s="23">
        <f t="shared" ca="1" si="14"/>
        <v>120.3365</v>
      </c>
      <c r="P112" s="19">
        <f>(inventory_data!$D112-inventory_data!$E112)</f>
        <v>300</v>
      </c>
      <c r="Q112" s="36">
        <f t="shared" si="15"/>
        <v>12525</v>
      </c>
      <c r="R112" s="5">
        <f t="shared" ca="1" si="11"/>
        <v>191</v>
      </c>
      <c r="S112" s="5" t="str">
        <f t="shared" ca="1" si="12"/>
        <v>Far Expiry</v>
      </c>
    </row>
    <row r="113" spans="1:19" x14ac:dyDescent="0.3">
      <c r="A113" s="6" t="s">
        <v>185</v>
      </c>
      <c r="B113" s="6" t="s">
        <v>49</v>
      </c>
      <c r="C113" s="6" t="s">
        <v>98</v>
      </c>
      <c r="D113" s="6">
        <v>125</v>
      </c>
      <c r="E113" s="15">
        <v>123</v>
      </c>
      <c r="F113" s="15">
        <v>49.59</v>
      </c>
      <c r="G113" s="15">
        <v>67.59</v>
      </c>
      <c r="H113" s="15">
        <v>2.04</v>
      </c>
      <c r="I113" s="15">
        <v>66.03</v>
      </c>
      <c r="J113" s="16">
        <v>46312</v>
      </c>
      <c r="K113" s="16">
        <v>45767</v>
      </c>
      <c r="L113" s="6" t="s">
        <v>32</v>
      </c>
      <c r="M113" s="1" t="s">
        <v>28</v>
      </c>
      <c r="N113" s="17">
        <f t="shared" ca="1" si="13"/>
        <v>0.2</v>
      </c>
      <c r="O113" s="18">
        <f t="shared" ca="1" si="14"/>
        <v>54.072000000000003</v>
      </c>
      <c r="P113" s="15">
        <f>(inventory_data!$D113-inventory_data!$E113)</f>
        <v>2</v>
      </c>
      <c r="Q113" s="36">
        <f t="shared" si="15"/>
        <v>36</v>
      </c>
      <c r="R113" s="5">
        <f t="shared" ca="1" si="11"/>
        <v>345</v>
      </c>
      <c r="S113" s="5" t="str">
        <f t="shared" ca="1" si="12"/>
        <v>Far Expiry</v>
      </c>
    </row>
    <row r="114" spans="1:19" x14ac:dyDescent="0.3">
      <c r="A114" s="5" t="s">
        <v>186</v>
      </c>
      <c r="B114" s="5" t="s">
        <v>49</v>
      </c>
      <c r="C114" s="5" t="s">
        <v>50</v>
      </c>
      <c r="D114" s="5">
        <v>372</v>
      </c>
      <c r="E114" s="19">
        <v>199</v>
      </c>
      <c r="F114" s="19">
        <v>139.94999999999999</v>
      </c>
      <c r="G114" s="19">
        <v>179.4</v>
      </c>
      <c r="H114" s="19">
        <v>6.45</v>
      </c>
      <c r="I114" s="19">
        <v>174.32</v>
      </c>
      <c r="J114" s="20">
        <v>46631</v>
      </c>
      <c r="K114" s="20">
        <v>45753</v>
      </c>
      <c r="L114" s="5" t="s">
        <v>51</v>
      </c>
      <c r="M114" s="21" t="s">
        <v>28</v>
      </c>
      <c r="N114" s="22">
        <f t="shared" ca="1" si="13"/>
        <v>0.2</v>
      </c>
      <c r="O114" s="23">
        <f t="shared" ca="1" si="14"/>
        <v>143.52000000000001</v>
      </c>
      <c r="P114" s="19">
        <f>(inventory_data!$D114-inventory_data!$E114)</f>
        <v>173</v>
      </c>
      <c r="Q114" s="36">
        <f t="shared" si="15"/>
        <v>6824.8500000000031</v>
      </c>
      <c r="R114" s="5">
        <f t="shared" ca="1" si="11"/>
        <v>664</v>
      </c>
      <c r="S114" s="5" t="str">
        <f t="shared" ca="1" si="12"/>
        <v>Far Expiry</v>
      </c>
    </row>
    <row r="115" spans="1:19" x14ac:dyDescent="0.3">
      <c r="A115" s="6" t="s">
        <v>187</v>
      </c>
      <c r="B115" s="6" t="s">
        <v>49</v>
      </c>
      <c r="C115" s="6" t="s">
        <v>98</v>
      </c>
      <c r="D115" s="6">
        <v>444</v>
      </c>
      <c r="E115" s="15">
        <v>426</v>
      </c>
      <c r="F115" s="15">
        <v>138.61000000000001</v>
      </c>
      <c r="G115" s="15">
        <v>205.78</v>
      </c>
      <c r="H115" s="15">
        <v>1.43</v>
      </c>
      <c r="I115" s="15">
        <v>204.83</v>
      </c>
      <c r="J115" s="16">
        <v>46022</v>
      </c>
      <c r="K115" s="16">
        <v>45851</v>
      </c>
      <c r="L115" s="6" t="s">
        <v>32</v>
      </c>
      <c r="M115" s="1" t="s">
        <v>28</v>
      </c>
      <c r="N115" s="17">
        <f t="shared" ca="1" si="13"/>
        <v>0.4</v>
      </c>
      <c r="O115" s="18">
        <f t="shared" ca="1" si="14"/>
        <v>123.46799999999999</v>
      </c>
      <c r="P115" s="15">
        <f>(inventory_data!$D115-inventory_data!$E115)</f>
        <v>18</v>
      </c>
      <c r="Q115" s="36">
        <f t="shared" si="15"/>
        <v>1209.0599999999997</v>
      </c>
      <c r="R115" s="5">
        <f t="shared" ca="1" si="11"/>
        <v>55</v>
      </c>
      <c r="S115" s="5" t="str">
        <f t="shared" ca="1" si="12"/>
        <v>Far Expiry</v>
      </c>
    </row>
    <row r="116" spans="1:19" x14ac:dyDescent="0.3">
      <c r="A116" s="5" t="s">
        <v>188</v>
      </c>
      <c r="B116" s="5" t="s">
        <v>49</v>
      </c>
      <c r="C116" s="5" t="s">
        <v>98</v>
      </c>
      <c r="D116" s="5">
        <v>193</v>
      </c>
      <c r="E116" s="19">
        <v>178</v>
      </c>
      <c r="F116" s="19">
        <v>126.84</v>
      </c>
      <c r="G116" s="19">
        <v>167.88</v>
      </c>
      <c r="H116" s="19">
        <v>5.18</v>
      </c>
      <c r="I116" s="19">
        <v>164.41</v>
      </c>
      <c r="J116" s="20">
        <v>45991</v>
      </c>
      <c r="K116" s="20">
        <v>45760</v>
      </c>
      <c r="L116" s="5" t="s">
        <v>32</v>
      </c>
      <c r="M116" s="21" t="s">
        <v>28</v>
      </c>
      <c r="N116" s="22">
        <f t="shared" ca="1" si="13"/>
        <v>0.4</v>
      </c>
      <c r="O116" s="23">
        <f t="shared" ca="1" si="14"/>
        <v>100.72799999999999</v>
      </c>
      <c r="P116" s="19">
        <f>(inventory_data!$D116-inventory_data!$E116)</f>
        <v>15</v>
      </c>
      <c r="Q116" s="36">
        <f t="shared" si="15"/>
        <v>615.59999999999991</v>
      </c>
      <c r="R116" s="5">
        <f t="shared" ca="1" si="11"/>
        <v>24</v>
      </c>
      <c r="S116" s="5" t="str">
        <f t="shared" ca="1" si="12"/>
        <v>Near Expiry</v>
      </c>
    </row>
    <row r="117" spans="1:19" x14ac:dyDescent="0.3">
      <c r="A117" s="6" t="s">
        <v>189</v>
      </c>
      <c r="B117" s="6" t="s">
        <v>25</v>
      </c>
      <c r="C117" s="6" t="s">
        <v>26</v>
      </c>
      <c r="D117" s="6">
        <v>275</v>
      </c>
      <c r="E117" s="15">
        <v>224</v>
      </c>
      <c r="F117" s="15">
        <v>186.28</v>
      </c>
      <c r="G117" s="15">
        <v>228.4</v>
      </c>
      <c r="H117" s="15">
        <v>1.19</v>
      </c>
      <c r="I117" s="15">
        <v>227.92</v>
      </c>
      <c r="J117" s="16">
        <v>45930</v>
      </c>
      <c r="K117" s="16">
        <v>45779</v>
      </c>
      <c r="L117" s="6" t="s">
        <v>27</v>
      </c>
      <c r="M117" s="1" t="s">
        <v>28</v>
      </c>
      <c r="N117" s="17">
        <f t="shared" ca="1" si="13"/>
        <v>0.4</v>
      </c>
      <c r="O117" s="18">
        <f t="shared" ca="1" si="14"/>
        <v>137.04</v>
      </c>
      <c r="P117" s="15">
        <f>(inventory_data!$D117-inventory_data!$E117)</f>
        <v>51</v>
      </c>
      <c r="Q117" s="36">
        <f t="shared" si="15"/>
        <v>2148.1200000000003</v>
      </c>
      <c r="R117" s="5">
        <f t="shared" ca="1" si="11"/>
        <v>-37</v>
      </c>
      <c r="S117" s="5" t="str">
        <f t="shared" ca="1" si="12"/>
        <v>Near Expiry</v>
      </c>
    </row>
    <row r="118" spans="1:19" x14ac:dyDescent="0.3">
      <c r="A118" s="5" t="s">
        <v>190</v>
      </c>
      <c r="B118" s="5" t="s">
        <v>55</v>
      </c>
      <c r="C118" s="5" t="s">
        <v>85</v>
      </c>
      <c r="D118" s="5">
        <v>243</v>
      </c>
      <c r="E118" s="19">
        <v>153</v>
      </c>
      <c r="F118" s="19">
        <v>87.2</v>
      </c>
      <c r="G118" s="19">
        <v>107.23</v>
      </c>
      <c r="H118" s="19">
        <v>7.17</v>
      </c>
      <c r="I118" s="19">
        <v>104.69</v>
      </c>
      <c r="J118" s="20">
        <v>45900</v>
      </c>
      <c r="K118" s="20">
        <v>45780</v>
      </c>
      <c r="L118" s="5" t="s">
        <v>86</v>
      </c>
      <c r="M118" s="21" t="s">
        <v>28</v>
      </c>
      <c r="N118" s="22">
        <f t="shared" ca="1" si="13"/>
        <v>0.4</v>
      </c>
      <c r="O118" s="23">
        <f t="shared" ca="1" si="14"/>
        <v>64.337999999999994</v>
      </c>
      <c r="P118" s="19">
        <f>(inventory_data!$D118-inventory_data!$E118)</f>
        <v>90</v>
      </c>
      <c r="Q118" s="36">
        <f t="shared" si="15"/>
        <v>1802.7</v>
      </c>
      <c r="R118" s="5">
        <f t="shared" ca="1" si="11"/>
        <v>-67</v>
      </c>
      <c r="S118" s="5" t="str">
        <f t="shared" ca="1" si="12"/>
        <v>Near Expiry</v>
      </c>
    </row>
    <row r="119" spans="1:19" x14ac:dyDescent="0.3">
      <c r="A119" s="6" t="s">
        <v>191</v>
      </c>
      <c r="B119" s="6" t="s">
        <v>20</v>
      </c>
      <c r="C119" s="6" t="s">
        <v>21</v>
      </c>
      <c r="D119" s="6">
        <v>73</v>
      </c>
      <c r="E119" s="15">
        <v>2</v>
      </c>
      <c r="F119" s="15">
        <v>42.91</v>
      </c>
      <c r="G119" s="15">
        <v>54.02</v>
      </c>
      <c r="H119" s="15">
        <v>1.78</v>
      </c>
      <c r="I119" s="15">
        <v>53.67</v>
      </c>
      <c r="J119" s="16">
        <v>46147</v>
      </c>
      <c r="K119" s="16">
        <v>45801</v>
      </c>
      <c r="L119" s="6" t="s">
        <v>22</v>
      </c>
      <c r="M119" s="1" t="s">
        <v>36</v>
      </c>
      <c r="N119" s="17">
        <f t="shared" ca="1" si="13"/>
        <v>0.05</v>
      </c>
      <c r="O119" s="18">
        <f t="shared" ca="1" si="14"/>
        <v>51.319000000000003</v>
      </c>
      <c r="P119" s="15">
        <f>(inventory_data!$D119-inventory_data!$E119)</f>
        <v>71</v>
      </c>
      <c r="Q119" s="36">
        <f t="shared" si="15"/>
        <v>788.81000000000051</v>
      </c>
      <c r="R119" s="5">
        <f t="shared" ca="1" si="11"/>
        <v>180</v>
      </c>
      <c r="S119" s="5" t="str">
        <f t="shared" ca="1" si="12"/>
        <v>Far Expiry</v>
      </c>
    </row>
    <row r="120" spans="1:19" x14ac:dyDescent="0.3">
      <c r="A120" s="5" t="s">
        <v>192</v>
      </c>
      <c r="B120" s="5" t="s">
        <v>49</v>
      </c>
      <c r="C120" s="5" t="s">
        <v>50</v>
      </c>
      <c r="D120" s="5">
        <v>123</v>
      </c>
      <c r="E120" s="19">
        <v>4</v>
      </c>
      <c r="F120" s="19">
        <v>124.92</v>
      </c>
      <c r="G120" s="19">
        <v>167.65</v>
      </c>
      <c r="H120" s="19">
        <v>2.95</v>
      </c>
      <c r="I120" s="19">
        <v>166.95</v>
      </c>
      <c r="J120" s="20">
        <v>46627</v>
      </c>
      <c r="K120" s="20">
        <v>45773</v>
      </c>
      <c r="L120" s="5" t="s">
        <v>51</v>
      </c>
      <c r="M120" s="21" t="s">
        <v>36</v>
      </c>
      <c r="N120" s="22">
        <f t="shared" ca="1" si="13"/>
        <v>0.05</v>
      </c>
      <c r="O120" s="23">
        <f t="shared" ca="1" si="14"/>
        <v>159.26749999999998</v>
      </c>
      <c r="P120" s="19">
        <f>(inventory_data!$D120-inventory_data!$E120)</f>
        <v>119</v>
      </c>
      <c r="Q120" s="36">
        <f t="shared" si="15"/>
        <v>5084.8700000000008</v>
      </c>
      <c r="R120" s="5">
        <f t="shared" ca="1" si="11"/>
        <v>660</v>
      </c>
      <c r="S120" s="5" t="str">
        <f t="shared" ca="1" si="12"/>
        <v>Far Expiry</v>
      </c>
    </row>
    <row r="121" spans="1:19" x14ac:dyDescent="0.3">
      <c r="A121" s="6" t="s">
        <v>193</v>
      </c>
      <c r="B121" s="6" t="s">
        <v>25</v>
      </c>
      <c r="C121" s="6" t="s">
        <v>26</v>
      </c>
      <c r="D121" s="6">
        <v>432</v>
      </c>
      <c r="E121" s="15">
        <v>29</v>
      </c>
      <c r="F121" s="15">
        <v>130.08000000000001</v>
      </c>
      <c r="G121" s="15">
        <v>186.19</v>
      </c>
      <c r="H121" s="15">
        <v>1.54</v>
      </c>
      <c r="I121" s="15">
        <v>184.9</v>
      </c>
      <c r="J121" s="16">
        <v>46405</v>
      </c>
      <c r="K121" s="16">
        <v>45792</v>
      </c>
      <c r="L121" s="6" t="s">
        <v>27</v>
      </c>
      <c r="M121" s="1" t="s">
        <v>36</v>
      </c>
      <c r="N121" s="17">
        <f t="shared" ca="1" si="13"/>
        <v>0.05</v>
      </c>
      <c r="O121" s="18">
        <f t="shared" ca="1" si="14"/>
        <v>176.88049999999998</v>
      </c>
      <c r="P121" s="15">
        <f>(inventory_data!$D121-inventory_data!$E121)</f>
        <v>403</v>
      </c>
      <c r="Q121" s="36">
        <f t="shared" si="15"/>
        <v>22612.329999999994</v>
      </c>
      <c r="R121" s="5">
        <f t="shared" ca="1" si="11"/>
        <v>438</v>
      </c>
      <c r="S121" s="5" t="str">
        <f t="shared" ca="1" si="12"/>
        <v>Far Expiry</v>
      </c>
    </row>
    <row r="122" spans="1:19" x14ac:dyDescent="0.3">
      <c r="A122" s="5" t="s">
        <v>194</v>
      </c>
      <c r="B122" s="5" t="s">
        <v>55</v>
      </c>
      <c r="C122" s="5" t="s">
        <v>93</v>
      </c>
      <c r="D122" s="5">
        <v>206</v>
      </c>
      <c r="E122" s="19">
        <v>104</v>
      </c>
      <c r="F122" s="19">
        <v>174.2</v>
      </c>
      <c r="G122" s="19">
        <v>213.36</v>
      </c>
      <c r="H122" s="19">
        <v>6.12</v>
      </c>
      <c r="I122" s="19">
        <v>209.29</v>
      </c>
      <c r="J122" s="20">
        <v>45898</v>
      </c>
      <c r="K122" s="20">
        <v>45774</v>
      </c>
      <c r="L122" s="5" t="s">
        <v>86</v>
      </c>
      <c r="M122" s="21" t="s">
        <v>28</v>
      </c>
      <c r="N122" s="22">
        <f t="shared" ca="1" si="13"/>
        <v>0.4</v>
      </c>
      <c r="O122" s="23">
        <f t="shared" ca="1" si="14"/>
        <v>128.01599999999999</v>
      </c>
      <c r="P122" s="19">
        <f>(inventory_data!$D122-inventory_data!$E122)</f>
        <v>102</v>
      </c>
      <c r="Q122" s="36">
        <f t="shared" si="15"/>
        <v>3994.3200000000024</v>
      </c>
      <c r="R122" s="5">
        <f t="shared" ca="1" si="11"/>
        <v>-69</v>
      </c>
      <c r="S122" s="5" t="str">
        <f t="shared" ca="1" si="12"/>
        <v>Near Expiry</v>
      </c>
    </row>
    <row r="123" spans="1:19" x14ac:dyDescent="0.3">
      <c r="A123" s="6" t="s">
        <v>195</v>
      </c>
      <c r="B123" s="6" t="s">
        <v>38</v>
      </c>
      <c r="C123" s="6" t="s">
        <v>39</v>
      </c>
      <c r="D123" s="6">
        <v>400</v>
      </c>
      <c r="E123" s="15">
        <v>83</v>
      </c>
      <c r="F123" s="15">
        <v>18.86</v>
      </c>
      <c r="G123" s="15">
        <v>26.81</v>
      </c>
      <c r="H123" s="15">
        <v>4.0199999999999996</v>
      </c>
      <c r="I123" s="15">
        <v>26.73</v>
      </c>
      <c r="J123" s="16">
        <v>45900</v>
      </c>
      <c r="K123" s="16">
        <v>45781</v>
      </c>
      <c r="L123" s="6" t="s">
        <v>40</v>
      </c>
      <c r="M123" s="1" t="s">
        <v>28</v>
      </c>
      <c r="N123" s="17">
        <f t="shared" ca="1" si="13"/>
        <v>0.4</v>
      </c>
      <c r="O123" s="18">
        <f t="shared" ca="1" si="14"/>
        <v>16.085999999999999</v>
      </c>
      <c r="P123" s="15">
        <f>(inventory_data!$D123-inventory_data!$E123)</f>
        <v>317</v>
      </c>
      <c r="Q123" s="36">
        <f t="shared" si="15"/>
        <v>2520.1499999999996</v>
      </c>
      <c r="R123" s="5">
        <f t="shared" ca="1" si="11"/>
        <v>-67</v>
      </c>
      <c r="S123" s="5" t="str">
        <f t="shared" ca="1" si="12"/>
        <v>Near Expiry</v>
      </c>
    </row>
    <row r="124" spans="1:19" x14ac:dyDescent="0.3">
      <c r="A124" s="5" t="s">
        <v>196</v>
      </c>
      <c r="B124" s="5" t="s">
        <v>25</v>
      </c>
      <c r="C124" s="5" t="s">
        <v>26</v>
      </c>
      <c r="D124" s="5">
        <v>414</v>
      </c>
      <c r="E124" s="19">
        <v>282</v>
      </c>
      <c r="F124" s="19">
        <v>159.72</v>
      </c>
      <c r="G124" s="19">
        <v>220.2</v>
      </c>
      <c r="H124" s="19">
        <v>1.62</v>
      </c>
      <c r="I124" s="19">
        <v>218.88</v>
      </c>
      <c r="J124" s="20">
        <v>46151</v>
      </c>
      <c r="K124" s="20">
        <v>45759</v>
      </c>
      <c r="L124" s="5" t="s">
        <v>27</v>
      </c>
      <c r="M124" s="21" t="s">
        <v>28</v>
      </c>
      <c r="N124" s="22">
        <f t="shared" ca="1" si="13"/>
        <v>0.4</v>
      </c>
      <c r="O124" s="23">
        <f t="shared" ca="1" si="14"/>
        <v>132.11999999999998</v>
      </c>
      <c r="P124" s="19">
        <f>(inventory_data!$D124-inventory_data!$E124)</f>
        <v>132</v>
      </c>
      <c r="Q124" s="36">
        <f t="shared" si="15"/>
        <v>7983.3599999999988</v>
      </c>
      <c r="R124" s="5">
        <f t="shared" ca="1" si="11"/>
        <v>184</v>
      </c>
      <c r="S124" s="5" t="str">
        <f t="shared" ca="1" si="12"/>
        <v>Far Expiry</v>
      </c>
    </row>
    <row r="125" spans="1:19" x14ac:dyDescent="0.3">
      <c r="A125" s="6" t="s">
        <v>197</v>
      </c>
      <c r="B125" s="6" t="s">
        <v>25</v>
      </c>
      <c r="C125" s="6" t="s">
        <v>90</v>
      </c>
      <c r="D125" s="6">
        <v>407</v>
      </c>
      <c r="E125" s="15">
        <v>26</v>
      </c>
      <c r="F125" s="15">
        <v>50.46</v>
      </c>
      <c r="G125" s="15">
        <v>65.38</v>
      </c>
      <c r="H125" s="15">
        <v>6.78</v>
      </c>
      <c r="I125" s="15">
        <v>61.23</v>
      </c>
      <c r="J125" s="16">
        <v>46198</v>
      </c>
      <c r="K125" s="16">
        <v>45832</v>
      </c>
      <c r="L125" s="6" t="s">
        <v>27</v>
      </c>
      <c r="M125" s="1" t="s">
        <v>36</v>
      </c>
      <c r="N125" s="17">
        <f t="shared" ca="1" si="13"/>
        <v>0.05</v>
      </c>
      <c r="O125" s="18">
        <f t="shared" ca="1" si="14"/>
        <v>62.11099999999999</v>
      </c>
      <c r="P125" s="15">
        <f>(inventory_data!$D125-inventory_data!$E125)</f>
        <v>381</v>
      </c>
      <c r="Q125" s="36">
        <f t="shared" si="15"/>
        <v>5684.5199999999977</v>
      </c>
      <c r="R125" s="5">
        <f t="shared" ca="1" si="11"/>
        <v>231</v>
      </c>
      <c r="S125" s="5" t="str">
        <f t="shared" ca="1" si="12"/>
        <v>Far Expiry</v>
      </c>
    </row>
    <row r="126" spans="1:19" x14ac:dyDescent="0.3">
      <c r="A126" s="5" t="s">
        <v>198</v>
      </c>
      <c r="B126" s="5" t="s">
        <v>38</v>
      </c>
      <c r="C126" s="5" t="s">
        <v>199</v>
      </c>
      <c r="D126" s="5">
        <v>484</v>
      </c>
      <c r="E126" s="19">
        <v>4</v>
      </c>
      <c r="F126" s="19">
        <v>122.54</v>
      </c>
      <c r="G126" s="19">
        <v>159.36000000000001</v>
      </c>
      <c r="H126" s="19">
        <v>8.26</v>
      </c>
      <c r="I126" s="19">
        <v>156.52000000000001</v>
      </c>
      <c r="J126" s="20">
        <v>46645</v>
      </c>
      <c r="K126" s="20">
        <v>45759</v>
      </c>
      <c r="L126" s="5" t="s">
        <v>40</v>
      </c>
      <c r="M126" s="21" t="s">
        <v>36</v>
      </c>
      <c r="N126" s="22">
        <f t="shared" ca="1" si="13"/>
        <v>0.05</v>
      </c>
      <c r="O126" s="23">
        <f t="shared" ca="1" si="14"/>
        <v>151.392</v>
      </c>
      <c r="P126" s="19">
        <f>(inventory_data!$D126-inventory_data!$E126)</f>
        <v>480</v>
      </c>
      <c r="Q126" s="36">
        <f t="shared" si="15"/>
        <v>17673.600000000002</v>
      </c>
      <c r="R126" s="5">
        <f t="shared" ca="1" si="11"/>
        <v>678</v>
      </c>
      <c r="S126" s="5" t="str">
        <f t="shared" ca="1" si="12"/>
        <v>Far Expiry</v>
      </c>
    </row>
    <row r="127" spans="1:19" x14ac:dyDescent="0.3">
      <c r="A127" s="6" t="s">
        <v>200</v>
      </c>
      <c r="B127" s="6" t="s">
        <v>63</v>
      </c>
      <c r="C127" s="6" t="s">
        <v>134</v>
      </c>
      <c r="D127" s="6">
        <v>321</v>
      </c>
      <c r="E127" s="15">
        <v>274</v>
      </c>
      <c r="F127" s="15">
        <v>56.03</v>
      </c>
      <c r="G127" s="15">
        <v>72.760000000000005</v>
      </c>
      <c r="H127" s="15">
        <v>3.64</v>
      </c>
      <c r="I127" s="15">
        <v>71.53</v>
      </c>
      <c r="J127" s="16">
        <v>45900</v>
      </c>
      <c r="K127" s="16">
        <v>45840</v>
      </c>
      <c r="L127" s="6" t="s">
        <v>35</v>
      </c>
      <c r="M127" s="1" t="s">
        <v>28</v>
      </c>
      <c r="N127" s="17">
        <f t="shared" ca="1" si="13"/>
        <v>0.4</v>
      </c>
      <c r="O127" s="18">
        <f t="shared" ca="1" si="14"/>
        <v>43.655999999999999</v>
      </c>
      <c r="P127" s="15">
        <f>(inventory_data!$D127-inventory_data!$E127)</f>
        <v>47</v>
      </c>
      <c r="Q127" s="36">
        <f t="shared" si="15"/>
        <v>786.31000000000017</v>
      </c>
      <c r="R127" s="5">
        <f t="shared" ca="1" si="11"/>
        <v>-67</v>
      </c>
      <c r="S127" s="5" t="str">
        <f t="shared" ca="1" si="12"/>
        <v>Near Expiry</v>
      </c>
    </row>
    <row r="128" spans="1:19" x14ac:dyDescent="0.3">
      <c r="A128" s="5" t="s">
        <v>201</v>
      </c>
      <c r="B128" s="5" t="s">
        <v>38</v>
      </c>
      <c r="C128" s="5" t="s">
        <v>39</v>
      </c>
      <c r="D128" s="5">
        <v>307</v>
      </c>
      <c r="E128" s="19">
        <v>21</v>
      </c>
      <c r="F128" s="19">
        <v>144.19</v>
      </c>
      <c r="G128" s="19">
        <v>180.66</v>
      </c>
      <c r="H128" s="19">
        <v>3.73</v>
      </c>
      <c r="I128" s="19">
        <v>177.36</v>
      </c>
      <c r="J128" s="20">
        <v>46128</v>
      </c>
      <c r="K128" s="20">
        <v>45748</v>
      </c>
      <c r="L128" s="5" t="s">
        <v>40</v>
      </c>
      <c r="M128" s="21" t="s">
        <v>36</v>
      </c>
      <c r="N128" s="22">
        <f t="shared" ca="1" si="13"/>
        <v>0.05</v>
      </c>
      <c r="O128" s="23">
        <f t="shared" ca="1" si="14"/>
        <v>171.62699999999998</v>
      </c>
      <c r="P128" s="19">
        <f>(inventory_data!$D128-inventory_data!$E128)</f>
        <v>286</v>
      </c>
      <c r="Q128" s="36">
        <f t="shared" si="15"/>
        <v>10430.42</v>
      </c>
      <c r="R128" s="5">
        <f t="shared" ca="1" si="11"/>
        <v>161</v>
      </c>
      <c r="S128" s="5" t="str">
        <f t="shared" ca="1" si="12"/>
        <v>Far Expiry</v>
      </c>
    </row>
    <row r="129" spans="1:19" x14ac:dyDescent="0.3">
      <c r="A129" s="6" t="s">
        <v>202</v>
      </c>
      <c r="B129" s="6" t="s">
        <v>49</v>
      </c>
      <c r="C129" s="6" t="s">
        <v>203</v>
      </c>
      <c r="D129" s="6">
        <v>245</v>
      </c>
      <c r="E129" s="15">
        <v>52</v>
      </c>
      <c r="F129" s="15">
        <v>196.66</v>
      </c>
      <c r="G129" s="15">
        <v>277.70999999999998</v>
      </c>
      <c r="H129" s="15">
        <v>4.6500000000000004</v>
      </c>
      <c r="I129" s="15">
        <v>274.11</v>
      </c>
      <c r="J129" s="16">
        <v>46390</v>
      </c>
      <c r="K129" s="16">
        <v>45856</v>
      </c>
      <c r="L129" s="6" t="s">
        <v>51</v>
      </c>
      <c r="M129" s="1" t="s">
        <v>36</v>
      </c>
      <c r="N129" s="17">
        <f t="shared" ca="1" si="13"/>
        <v>0.05</v>
      </c>
      <c r="O129" s="18">
        <f t="shared" ca="1" si="14"/>
        <v>263.82449999999994</v>
      </c>
      <c r="P129" s="15">
        <f>(inventory_data!$D129-inventory_data!$E129)</f>
        <v>193</v>
      </c>
      <c r="Q129" s="36">
        <f t="shared" si="15"/>
        <v>15642.649999999996</v>
      </c>
      <c r="R129" s="5">
        <f t="shared" ca="1" si="11"/>
        <v>423</v>
      </c>
      <c r="S129" s="5" t="str">
        <f t="shared" ca="1" si="12"/>
        <v>Far Expiry</v>
      </c>
    </row>
    <row r="130" spans="1:19" x14ac:dyDescent="0.3">
      <c r="A130" s="5" t="s">
        <v>204</v>
      </c>
      <c r="B130" s="5" t="s">
        <v>38</v>
      </c>
      <c r="C130" s="5" t="s">
        <v>53</v>
      </c>
      <c r="D130" s="5">
        <v>327</v>
      </c>
      <c r="E130" s="19">
        <v>105</v>
      </c>
      <c r="F130" s="19">
        <v>164.7</v>
      </c>
      <c r="G130" s="19">
        <v>206.65</v>
      </c>
      <c r="H130" s="19">
        <v>3.07</v>
      </c>
      <c r="I130" s="19">
        <v>206.07</v>
      </c>
      <c r="J130" s="20">
        <v>46340</v>
      </c>
      <c r="K130" s="20">
        <v>45837</v>
      </c>
      <c r="L130" s="5" t="s">
        <v>32</v>
      </c>
      <c r="M130" s="21" t="s">
        <v>28</v>
      </c>
      <c r="N130" s="22">
        <f t="shared" ref="N130:N161" ca="1" si="16">IF(OR(E130&gt;200,J130&lt;=TODAY()+30),0.4,
   IF(OR(AND(E130&gt;=100,E130&lt;=200),J130&lt;=TODAY()+90),0.2,0.05))</f>
        <v>0.2</v>
      </c>
      <c r="O130" s="23">
        <f t="shared" ref="O130:O161" ca="1" si="17">G130*(1-N130)</f>
        <v>165.32000000000002</v>
      </c>
      <c r="P130" s="19">
        <f>(inventory_data!$D130-inventory_data!$E130)</f>
        <v>222</v>
      </c>
      <c r="Q130" s="36">
        <f t="shared" ref="Q130:Q161" si="18">(G130-F130)*P130</f>
        <v>9312.9000000000033</v>
      </c>
      <c r="R130" s="5">
        <f t="shared" ca="1" si="11"/>
        <v>373</v>
      </c>
      <c r="S130" s="5" t="str">
        <f t="shared" ca="1" si="12"/>
        <v>Far Expiry</v>
      </c>
    </row>
    <row r="131" spans="1:19" x14ac:dyDescent="0.3">
      <c r="A131" s="6" t="s">
        <v>205</v>
      </c>
      <c r="B131" s="6" t="s">
        <v>63</v>
      </c>
      <c r="C131" s="6" t="s">
        <v>134</v>
      </c>
      <c r="D131" s="6">
        <v>64</v>
      </c>
      <c r="E131" s="15">
        <v>24</v>
      </c>
      <c r="F131" s="15">
        <v>191.36</v>
      </c>
      <c r="G131" s="15">
        <v>252.61</v>
      </c>
      <c r="H131" s="15">
        <v>5.86</v>
      </c>
      <c r="I131" s="15">
        <v>248.7</v>
      </c>
      <c r="J131" s="16">
        <v>46738</v>
      </c>
      <c r="K131" s="16">
        <v>45845</v>
      </c>
      <c r="L131" s="6" t="s">
        <v>35</v>
      </c>
      <c r="M131" s="1" t="s">
        <v>36</v>
      </c>
      <c r="N131" s="17">
        <f t="shared" ca="1" si="16"/>
        <v>0.05</v>
      </c>
      <c r="O131" s="18">
        <f t="shared" ca="1" si="17"/>
        <v>239.9795</v>
      </c>
      <c r="P131" s="15">
        <f>(inventory_data!$D131-inventory_data!$E131)</f>
        <v>40</v>
      </c>
      <c r="Q131" s="36">
        <f t="shared" si="18"/>
        <v>2450</v>
      </c>
      <c r="R131" s="5">
        <f t="shared" ref="R131:R194" ca="1" si="19">J131-TODAY()</f>
        <v>771</v>
      </c>
      <c r="S131" s="5" t="str">
        <f t="shared" ref="S131:S194" ca="1" si="20">IF(R131&lt;=40,"Near Expiry",IF(R131&gt;41,"Far Expiry"))</f>
        <v>Far Expiry</v>
      </c>
    </row>
    <row r="132" spans="1:19" x14ac:dyDescent="0.3">
      <c r="A132" s="5" t="s">
        <v>206</v>
      </c>
      <c r="B132" s="5" t="s">
        <v>49</v>
      </c>
      <c r="C132" s="5" t="s">
        <v>50</v>
      </c>
      <c r="D132" s="5">
        <v>165</v>
      </c>
      <c r="E132" s="19">
        <v>128</v>
      </c>
      <c r="F132" s="19">
        <v>21.5</v>
      </c>
      <c r="G132" s="19">
        <v>30.88</v>
      </c>
      <c r="H132" s="19">
        <v>9.26</v>
      </c>
      <c r="I132" s="19">
        <v>25.49</v>
      </c>
      <c r="J132" s="20">
        <v>46277</v>
      </c>
      <c r="K132" s="20">
        <v>45830</v>
      </c>
      <c r="L132" s="5" t="s">
        <v>51</v>
      </c>
      <c r="M132" s="21" t="s">
        <v>28</v>
      </c>
      <c r="N132" s="22">
        <f t="shared" ca="1" si="16"/>
        <v>0.2</v>
      </c>
      <c r="O132" s="23">
        <f t="shared" ca="1" si="17"/>
        <v>24.704000000000001</v>
      </c>
      <c r="P132" s="19">
        <f>(inventory_data!$D132-inventory_data!$E132)</f>
        <v>37</v>
      </c>
      <c r="Q132" s="36">
        <f t="shared" si="18"/>
        <v>347.05999999999995</v>
      </c>
      <c r="R132" s="5">
        <f t="shared" ca="1" si="19"/>
        <v>310</v>
      </c>
      <c r="S132" s="5" t="str">
        <f t="shared" ca="1" si="20"/>
        <v>Far Expiry</v>
      </c>
    </row>
    <row r="133" spans="1:19" x14ac:dyDescent="0.3">
      <c r="A133" s="6" t="s">
        <v>207</v>
      </c>
      <c r="B133" s="6" t="s">
        <v>20</v>
      </c>
      <c r="C133" s="6" t="s">
        <v>21</v>
      </c>
      <c r="D133" s="6">
        <v>242</v>
      </c>
      <c r="E133" s="15">
        <v>44</v>
      </c>
      <c r="F133" s="15">
        <v>125.53</v>
      </c>
      <c r="G133" s="15">
        <v>181.77</v>
      </c>
      <c r="H133" s="15">
        <v>1.67</v>
      </c>
      <c r="I133" s="15">
        <v>181.38</v>
      </c>
      <c r="J133" s="16">
        <v>45935</v>
      </c>
      <c r="K133" s="16">
        <v>45840</v>
      </c>
      <c r="L133" s="6" t="s">
        <v>22</v>
      </c>
      <c r="M133" s="1" t="s">
        <v>36</v>
      </c>
      <c r="N133" s="17">
        <f t="shared" ca="1" si="16"/>
        <v>0.4</v>
      </c>
      <c r="O133" s="18">
        <f t="shared" ca="1" si="17"/>
        <v>109.062</v>
      </c>
      <c r="P133" s="15">
        <f>(inventory_data!$D133-inventory_data!$E133)</f>
        <v>198</v>
      </c>
      <c r="Q133" s="36">
        <f t="shared" si="18"/>
        <v>11135.520000000002</v>
      </c>
      <c r="R133" s="5">
        <f t="shared" ca="1" si="19"/>
        <v>-32</v>
      </c>
      <c r="S133" s="5" t="str">
        <f t="shared" ca="1" si="20"/>
        <v>Near Expiry</v>
      </c>
    </row>
    <row r="134" spans="1:19" x14ac:dyDescent="0.3">
      <c r="A134" s="5" t="s">
        <v>208</v>
      </c>
      <c r="B134" s="5" t="s">
        <v>63</v>
      </c>
      <c r="C134" s="5" t="s">
        <v>134</v>
      </c>
      <c r="D134" s="5">
        <v>173</v>
      </c>
      <c r="E134" s="19">
        <v>153</v>
      </c>
      <c r="F134" s="19">
        <v>141.07</v>
      </c>
      <c r="G134" s="19">
        <v>187.95</v>
      </c>
      <c r="H134" s="19">
        <v>4.38</v>
      </c>
      <c r="I134" s="19">
        <v>183.92</v>
      </c>
      <c r="J134" s="20">
        <v>46684</v>
      </c>
      <c r="K134" s="20">
        <v>45770</v>
      </c>
      <c r="L134" s="5" t="s">
        <v>35</v>
      </c>
      <c r="M134" s="21" t="s">
        <v>28</v>
      </c>
      <c r="N134" s="22">
        <f t="shared" ca="1" si="16"/>
        <v>0.2</v>
      </c>
      <c r="O134" s="23">
        <f t="shared" ca="1" si="17"/>
        <v>150.35999999999999</v>
      </c>
      <c r="P134" s="19">
        <f>(inventory_data!$D134-inventory_data!$E134)</f>
        <v>20</v>
      </c>
      <c r="Q134" s="36">
        <f t="shared" si="18"/>
        <v>937.59999999999991</v>
      </c>
      <c r="R134" s="5">
        <f t="shared" ca="1" si="19"/>
        <v>717</v>
      </c>
      <c r="S134" s="5" t="str">
        <f t="shared" ca="1" si="20"/>
        <v>Far Expiry</v>
      </c>
    </row>
    <row r="135" spans="1:19" x14ac:dyDescent="0.3">
      <c r="A135" s="6" t="s">
        <v>209</v>
      </c>
      <c r="B135" s="6" t="s">
        <v>49</v>
      </c>
      <c r="C135" s="6" t="s">
        <v>50</v>
      </c>
      <c r="D135" s="6">
        <v>376</v>
      </c>
      <c r="E135" s="15">
        <v>144</v>
      </c>
      <c r="F135" s="15">
        <v>59.15</v>
      </c>
      <c r="G135" s="15">
        <v>73.88</v>
      </c>
      <c r="H135" s="15">
        <v>9.4499999999999993</v>
      </c>
      <c r="I135" s="15">
        <v>65.23</v>
      </c>
      <c r="J135" s="16">
        <v>46166</v>
      </c>
      <c r="K135" s="16">
        <v>45844</v>
      </c>
      <c r="L135" s="6" t="s">
        <v>51</v>
      </c>
      <c r="M135" s="1" t="s">
        <v>28</v>
      </c>
      <c r="N135" s="17">
        <f t="shared" ca="1" si="16"/>
        <v>0.2</v>
      </c>
      <c r="O135" s="18">
        <f t="shared" ca="1" si="17"/>
        <v>59.103999999999999</v>
      </c>
      <c r="P135" s="15">
        <f>(inventory_data!$D135-inventory_data!$E135)</f>
        <v>232</v>
      </c>
      <c r="Q135" s="36">
        <f t="shared" si="18"/>
        <v>3417.3599999999992</v>
      </c>
      <c r="R135" s="5">
        <f t="shared" ca="1" si="19"/>
        <v>199</v>
      </c>
      <c r="S135" s="5" t="str">
        <f t="shared" ca="1" si="20"/>
        <v>Far Expiry</v>
      </c>
    </row>
    <row r="136" spans="1:19" x14ac:dyDescent="0.3">
      <c r="A136" s="5" t="s">
        <v>210</v>
      </c>
      <c r="B136" s="5" t="s">
        <v>38</v>
      </c>
      <c r="C136" s="5" t="s">
        <v>39</v>
      </c>
      <c r="D136" s="5">
        <v>236</v>
      </c>
      <c r="E136" s="19">
        <v>126</v>
      </c>
      <c r="F136" s="19">
        <v>21.25</v>
      </c>
      <c r="G136" s="19">
        <v>31.7</v>
      </c>
      <c r="H136" s="19">
        <v>3.88</v>
      </c>
      <c r="I136" s="19">
        <v>29.64</v>
      </c>
      <c r="J136" s="20">
        <v>46168</v>
      </c>
      <c r="K136" s="20">
        <v>45860</v>
      </c>
      <c r="L136" s="5" t="s">
        <v>40</v>
      </c>
      <c r="M136" s="21" t="s">
        <v>28</v>
      </c>
      <c r="N136" s="22">
        <f t="shared" ca="1" si="16"/>
        <v>0.2</v>
      </c>
      <c r="O136" s="23">
        <f t="shared" ca="1" si="17"/>
        <v>25.36</v>
      </c>
      <c r="P136" s="19">
        <f>(inventory_data!$D136-inventory_data!$E136)</f>
        <v>110</v>
      </c>
      <c r="Q136" s="36">
        <f t="shared" si="18"/>
        <v>1149.5</v>
      </c>
      <c r="R136" s="5">
        <f t="shared" ca="1" si="19"/>
        <v>201</v>
      </c>
      <c r="S136" s="5" t="str">
        <f t="shared" ca="1" si="20"/>
        <v>Far Expiry</v>
      </c>
    </row>
    <row r="137" spans="1:19" x14ac:dyDescent="0.3">
      <c r="A137" s="6" t="s">
        <v>211</v>
      </c>
      <c r="B137" s="6" t="s">
        <v>25</v>
      </c>
      <c r="C137" s="6" t="s">
        <v>90</v>
      </c>
      <c r="D137" s="6">
        <v>128</v>
      </c>
      <c r="E137" s="15">
        <v>45</v>
      </c>
      <c r="F137" s="15">
        <v>163.54</v>
      </c>
      <c r="G137" s="15">
        <v>244.28</v>
      </c>
      <c r="H137" s="15">
        <v>3.69</v>
      </c>
      <c r="I137" s="15">
        <v>242.63</v>
      </c>
      <c r="J137" s="16">
        <v>46426</v>
      </c>
      <c r="K137" s="16">
        <v>45798</v>
      </c>
      <c r="L137" s="6" t="s">
        <v>27</v>
      </c>
      <c r="M137" s="1" t="s">
        <v>36</v>
      </c>
      <c r="N137" s="17">
        <f t="shared" ca="1" si="16"/>
        <v>0.05</v>
      </c>
      <c r="O137" s="18">
        <f t="shared" ca="1" si="17"/>
        <v>232.066</v>
      </c>
      <c r="P137" s="15">
        <f>(inventory_data!$D137-inventory_data!$E137)</f>
        <v>83</v>
      </c>
      <c r="Q137" s="36">
        <f t="shared" si="18"/>
        <v>6701.420000000001</v>
      </c>
      <c r="R137" s="5">
        <f t="shared" ca="1" si="19"/>
        <v>459</v>
      </c>
      <c r="S137" s="5" t="str">
        <f t="shared" ca="1" si="20"/>
        <v>Far Expiry</v>
      </c>
    </row>
    <row r="138" spans="1:19" x14ac:dyDescent="0.3">
      <c r="A138" s="5" t="s">
        <v>212</v>
      </c>
      <c r="B138" s="5" t="s">
        <v>20</v>
      </c>
      <c r="C138" s="5" t="s">
        <v>21</v>
      </c>
      <c r="D138" s="5">
        <v>67</v>
      </c>
      <c r="E138" s="19">
        <v>19</v>
      </c>
      <c r="F138" s="19">
        <v>182.14</v>
      </c>
      <c r="G138" s="19">
        <v>253.67</v>
      </c>
      <c r="H138" s="19">
        <v>9.6300000000000008</v>
      </c>
      <c r="I138" s="19">
        <v>249.94</v>
      </c>
      <c r="J138" s="20">
        <v>46053</v>
      </c>
      <c r="K138" s="20">
        <v>45838</v>
      </c>
      <c r="L138" s="5" t="s">
        <v>22</v>
      </c>
      <c r="M138" s="21" t="s">
        <v>36</v>
      </c>
      <c r="N138" s="22">
        <f t="shared" ca="1" si="16"/>
        <v>0.2</v>
      </c>
      <c r="O138" s="23">
        <f t="shared" ca="1" si="17"/>
        <v>202.93600000000001</v>
      </c>
      <c r="P138" s="19">
        <f>(inventory_data!$D138-inventory_data!$E138)</f>
        <v>48</v>
      </c>
      <c r="Q138" s="36">
        <f t="shared" si="18"/>
        <v>3433.44</v>
      </c>
      <c r="R138" s="5">
        <f t="shared" ca="1" si="19"/>
        <v>86</v>
      </c>
      <c r="S138" s="5" t="str">
        <f t="shared" ca="1" si="20"/>
        <v>Far Expiry</v>
      </c>
    </row>
    <row r="139" spans="1:19" x14ac:dyDescent="0.3">
      <c r="A139" s="6" t="s">
        <v>213</v>
      </c>
      <c r="B139" s="6" t="s">
        <v>25</v>
      </c>
      <c r="C139" s="6" t="s">
        <v>26</v>
      </c>
      <c r="D139" s="6">
        <v>375</v>
      </c>
      <c r="E139" s="15">
        <v>264</v>
      </c>
      <c r="F139" s="15">
        <v>81.760000000000005</v>
      </c>
      <c r="G139" s="15">
        <v>109.95</v>
      </c>
      <c r="H139" s="15">
        <v>4.22</v>
      </c>
      <c r="I139" s="15">
        <v>107.79</v>
      </c>
      <c r="J139" s="16">
        <v>46348</v>
      </c>
      <c r="K139" s="16">
        <v>45806</v>
      </c>
      <c r="L139" s="6" t="s">
        <v>27</v>
      </c>
      <c r="M139" s="1" t="s">
        <v>28</v>
      </c>
      <c r="N139" s="17">
        <f t="shared" ca="1" si="16"/>
        <v>0.4</v>
      </c>
      <c r="O139" s="18">
        <f t="shared" ca="1" si="17"/>
        <v>65.97</v>
      </c>
      <c r="P139" s="15">
        <f>(inventory_data!$D139-inventory_data!$E139)</f>
        <v>111</v>
      </c>
      <c r="Q139" s="36">
        <f t="shared" si="18"/>
        <v>3129.0899999999997</v>
      </c>
      <c r="R139" s="5">
        <f t="shared" ca="1" si="19"/>
        <v>381</v>
      </c>
      <c r="S139" s="5" t="str">
        <f t="shared" ca="1" si="20"/>
        <v>Far Expiry</v>
      </c>
    </row>
    <row r="140" spans="1:19" x14ac:dyDescent="0.3">
      <c r="A140" s="5" t="s">
        <v>214</v>
      </c>
      <c r="B140" s="5" t="s">
        <v>25</v>
      </c>
      <c r="C140" s="5" t="s">
        <v>26</v>
      </c>
      <c r="D140" s="5">
        <v>180</v>
      </c>
      <c r="E140" s="19">
        <v>4</v>
      </c>
      <c r="F140" s="19">
        <v>165.26</v>
      </c>
      <c r="G140" s="19">
        <v>206.65</v>
      </c>
      <c r="H140" s="19">
        <v>6.31</v>
      </c>
      <c r="I140" s="19">
        <v>203.9</v>
      </c>
      <c r="J140" s="20">
        <v>46555</v>
      </c>
      <c r="K140" s="20">
        <v>45835</v>
      </c>
      <c r="L140" s="5" t="s">
        <v>27</v>
      </c>
      <c r="M140" s="21" t="s">
        <v>36</v>
      </c>
      <c r="N140" s="22">
        <f t="shared" ca="1" si="16"/>
        <v>0.05</v>
      </c>
      <c r="O140" s="23">
        <f t="shared" ca="1" si="17"/>
        <v>196.3175</v>
      </c>
      <c r="P140" s="19">
        <f>(inventory_data!$D140-inventory_data!$E140)</f>
        <v>176</v>
      </c>
      <c r="Q140" s="36">
        <f t="shared" si="18"/>
        <v>7284.6400000000031</v>
      </c>
      <c r="R140" s="5">
        <f t="shared" ca="1" si="19"/>
        <v>588</v>
      </c>
      <c r="S140" s="5" t="str">
        <f t="shared" ca="1" si="20"/>
        <v>Far Expiry</v>
      </c>
    </row>
    <row r="141" spans="1:19" x14ac:dyDescent="0.3">
      <c r="A141" s="6" t="s">
        <v>215</v>
      </c>
      <c r="B141" s="6" t="s">
        <v>20</v>
      </c>
      <c r="C141" s="6" t="s">
        <v>106</v>
      </c>
      <c r="D141" s="6">
        <v>289</v>
      </c>
      <c r="E141" s="15">
        <v>78</v>
      </c>
      <c r="F141" s="15">
        <v>171.49</v>
      </c>
      <c r="G141" s="15">
        <v>239.44</v>
      </c>
      <c r="H141" s="15">
        <v>5.77</v>
      </c>
      <c r="I141" s="15">
        <v>237.64</v>
      </c>
      <c r="J141" s="16">
        <v>45930</v>
      </c>
      <c r="K141" s="16">
        <v>45755</v>
      </c>
      <c r="L141" s="6" t="s">
        <v>68</v>
      </c>
      <c r="M141" s="1" t="s">
        <v>36</v>
      </c>
      <c r="N141" s="17">
        <f t="shared" ca="1" si="16"/>
        <v>0.4</v>
      </c>
      <c r="O141" s="18">
        <f t="shared" ca="1" si="17"/>
        <v>143.66399999999999</v>
      </c>
      <c r="P141" s="15">
        <f>(inventory_data!$D141-inventory_data!$E141)</f>
        <v>211</v>
      </c>
      <c r="Q141" s="36">
        <f t="shared" si="18"/>
        <v>14337.449999999997</v>
      </c>
      <c r="R141" s="5">
        <f t="shared" ca="1" si="19"/>
        <v>-37</v>
      </c>
      <c r="S141" s="5" t="str">
        <f t="shared" ca="1" si="20"/>
        <v>Near Expiry</v>
      </c>
    </row>
    <row r="142" spans="1:19" x14ac:dyDescent="0.3">
      <c r="A142" s="5" t="s">
        <v>216</v>
      </c>
      <c r="B142" s="5" t="s">
        <v>38</v>
      </c>
      <c r="C142" s="5" t="s">
        <v>111</v>
      </c>
      <c r="D142" s="5">
        <v>177</v>
      </c>
      <c r="E142" s="19">
        <v>105</v>
      </c>
      <c r="F142" s="19">
        <v>59.56</v>
      </c>
      <c r="G142" s="19">
        <v>78.099999999999994</v>
      </c>
      <c r="H142" s="19">
        <v>4.2</v>
      </c>
      <c r="I142" s="19">
        <v>77.47</v>
      </c>
      <c r="J142" s="20">
        <v>45925</v>
      </c>
      <c r="K142" s="20">
        <v>45759</v>
      </c>
      <c r="L142" s="5" t="s">
        <v>32</v>
      </c>
      <c r="M142" s="21" t="s">
        <v>28</v>
      </c>
      <c r="N142" s="22">
        <f t="shared" ca="1" si="16"/>
        <v>0.4</v>
      </c>
      <c r="O142" s="23">
        <f t="shared" ca="1" si="17"/>
        <v>46.859999999999992</v>
      </c>
      <c r="P142" s="19">
        <f>(inventory_data!$D142-inventory_data!$E142)</f>
        <v>72</v>
      </c>
      <c r="Q142" s="36">
        <f t="shared" si="18"/>
        <v>1334.8799999999994</v>
      </c>
      <c r="R142" s="5">
        <f t="shared" ca="1" si="19"/>
        <v>-42</v>
      </c>
      <c r="S142" s="5" t="str">
        <f t="shared" ca="1" si="20"/>
        <v>Near Expiry</v>
      </c>
    </row>
    <row r="143" spans="1:19" x14ac:dyDescent="0.3">
      <c r="A143" s="6" t="s">
        <v>217</v>
      </c>
      <c r="B143" s="6" t="s">
        <v>38</v>
      </c>
      <c r="C143" s="6" t="s">
        <v>39</v>
      </c>
      <c r="D143" s="6">
        <v>249</v>
      </c>
      <c r="E143" s="15">
        <v>213</v>
      </c>
      <c r="F143" s="15">
        <v>159.6</v>
      </c>
      <c r="G143" s="15">
        <v>214.41</v>
      </c>
      <c r="H143" s="15">
        <v>6.02</v>
      </c>
      <c r="I143" s="15">
        <v>211.64</v>
      </c>
      <c r="J143" s="16">
        <v>46132</v>
      </c>
      <c r="K143" s="16">
        <v>45808</v>
      </c>
      <c r="L143" s="6" t="s">
        <v>40</v>
      </c>
      <c r="M143" s="1" t="s">
        <v>28</v>
      </c>
      <c r="N143" s="17">
        <f t="shared" ca="1" si="16"/>
        <v>0.4</v>
      </c>
      <c r="O143" s="18">
        <f t="shared" ca="1" si="17"/>
        <v>128.64599999999999</v>
      </c>
      <c r="P143" s="15">
        <f>(inventory_data!$D143-inventory_data!$E143)</f>
        <v>36</v>
      </c>
      <c r="Q143" s="36">
        <f t="shared" si="18"/>
        <v>1973.16</v>
      </c>
      <c r="R143" s="5">
        <f t="shared" ca="1" si="19"/>
        <v>165</v>
      </c>
      <c r="S143" s="5" t="str">
        <f t="shared" ca="1" si="20"/>
        <v>Far Expiry</v>
      </c>
    </row>
    <row r="144" spans="1:19" x14ac:dyDescent="0.3">
      <c r="A144" s="5" t="s">
        <v>218</v>
      </c>
      <c r="B144" s="5" t="s">
        <v>25</v>
      </c>
      <c r="C144" s="5" t="s">
        <v>47</v>
      </c>
      <c r="D144" s="5">
        <v>123</v>
      </c>
      <c r="E144" s="19">
        <v>10</v>
      </c>
      <c r="F144" s="19">
        <v>11.82</v>
      </c>
      <c r="G144" s="19">
        <v>15.88</v>
      </c>
      <c r="H144" s="19">
        <v>9.24</v>
      </c>
      <c r="I144" s="19">
        <v>14.74</v>
      </c>
      <c r="J144" s="20">
        <v>46359</v>
      </c>
      <c r="K144" s="20">
        <v>45751</v>
      </c>
      <c r="L144" s="5" t="s">
        <v>32</v>
      </c>
      <c r="M144" s="21" t="s">
        <v>36</v>
      </c>
      <c r="N144" s="22">
        <f t="shared" ca="1" si="16"/>
        <v>0.05</v>
      </c>
      <c r="O144" s="23">
        <f t="shared" ca="1" si="17"/>
        <v>15.086</v>
      </c>
      <c r="P144" s="19">
        <f>(inventory_data!$D144-inventory_data!$E144)</f>
        <v>113</v>
      </c>
      <c r="Q144" s="36">
        <f t="shared" si="18"/>
        <v>458.78000000000003</v>
      </c>
      <c r="R144" s="5">
        <f t="shared" ca="1" si="19"/>
        <v>392</v>
      </c>
      <c r="S144" s="5" t="str">
        <f t="shared" ca="1" si="20"/>
        <v>Far Expiry</v>
      </c>
    </row>
    <row r="145" spans="1:19" x14ac:dyDescent="0.3">
      <c r="A145" s="6" t="s">
        <v>219</v>
      </c>
      <c r="B145" s="6" t="s">
        <v>49</v>
      </c>
      <c r="C145" s="6" t="s">
        <v>98</v>
      </c>
      <c r="D145" s="6">
        <v>286</v>
      </c>
      <c r="E145" s="15">
        <v>110</v>
      </c>
      <c r="F145" s="15">
        <v>194.07</v>
      </c>
      <c r="G145" s="15">
        <v>234.25</v>
      </c>
      <c r="H145" s="15">
        <v>9.7100000000000009</v>
      </c>
      <c r="I145" s="15">
        <v>228.1</v>
      </c>
      <c r="J145" s="16">
        <v>46122</v>
      </c>
      <c r="K145" s="16">
        <v>45860</v>
      </c>
      <c r="L145" s="6" t="s">
        <v>32</v>
      </c>
      <c r="M145" s="1" t="s">
        <v>28</v>
      </c>
      <c r="N145" s="17">
        <f t="shared" ca="1" si="16"/>
        <v>0.2</v>
      </c>
      <c r="O145" s="18">
        <f t="shared" ca="1" si="17"/>
        <v>187.4</v>
      </c>
      <c r="P145" s="15">
        <f>(inventory_data!$D145-inventory_data!$E145)</f>
        <v>176</v>
      </c>
      <c r="Q145" s="36">
        <f t="shared" si="18"/>
        <v>7071.6800000000012</v>
      </c>
      <c r="R145" s="5">
        <f t="shared" ca="1" si="19"/>
        <v>155</v>
      </c>
      <c r="S145" s="5" t="str">
        <f t="shared" ca="1" si="20"/>
        <v>Far Expiry</v>
      </c>
    </row>
    <row r="146" spans="1:19" x14ac:dyDescent="0.3">
      <c r="A146" s="5" t="s">
        <v>220</v>
      </c>
      <c r="B146" s="5" t="s">
        <v>25</v>
      </c>
      <c r="C146" s="5" t="s">
        <v>26</v>
      </c>
      <c r="D146" s="5">
        <v>278</v>
      </c>
      <c r="E146" s="19">
        <v>192</v>
      </c>
      <c r="F146" s="19">
        <v>136.46</v>
      </c>
      <c r="G146" s="19">
        <v>182.71</v>
      </c>
      <c r="H146" s="19">
        <v>3.23</v>
      </c>
      <c r="I146" s="19">
        <v>182.67</v>
      </c>
      <c r="J146" s="20">
        <v>46439</v>
      </c>
      <c r="K146" s="20">
        <v>45802</v>
      </c>
      <c r="L146" s="5" t="s">
        <v>27</v>
      </c>
      <c r="M146" s="21" t="s">
        <v>28</v>
      </c>
      <c r="N146" s="22">
        <f t="shared" ca="1" si="16"/>
        <v>0.2</v>
      </c>
      <c r="O146" s="23">
        <f t="shared" ca="1" si="17"/>
        <v>146.16800000000001</v>
      </c>
      <c r="P146" s="19">
        <f>(inventory_data!$D146-inventory_data!$E146)</f>
        <v>86</v>
      </c>
      <c r="Q146" s="36">
        <f t="shared" si="18"/>
        <v>3977.5</v>
      </c>
      <c r="R146" s="5">
        <f t="shared" ca="1" si="19"/>
        <v>472</v>
      </c>
      <c r="S146" s="5" t="str">
        <f t="shared" ca="1" si="20"/>
        <v>Far Expiry</v>
      </c>
    </row>
    <row r="147" spans="1:19" x14ac:dyDescent="0.3">
      <c r="A147" s="6" t="s">
        <v>221</v>
      </c>
      <c r="B147" s="6" t="s">
        <v>20</v>
      </c>
      <c r="C147" s="6" t="s">
        <v>106</v>
      </c>
      <c r="D147" s="6">
        <v>258</v>
      </c>
      <c r="E147" s="15">
        <v>15</v>
      </c>
      <c r="F147" s="15">
        <v>47.85</v>
      </c>
      <c r="G147" s="15">
        <v>60.6</v>
      </c>
      <c r="H147" s="15">
        <v>7.06</v>
      </c>
      <c r="I147" s="15">
        <v>56.04</v>
      </c>
      <c r="J147" s="16">
        <v>45973</v>
      </c>
      <c r="K147" s="16">
        <v>45777</v>
      </c>
      <c r="L147" s="6" t="s">
        <v>68</v>
      </c>
      <c r="M147" s="1" t="s">
        <v>36</v>
      </c>
      <c r="N147" s="17">
        <f t="shared" ca="1" si="16"/>
        <v>0.4</v>
      </c>
      <c r="O147" s="18">
        <f t="shared" ca="1" si="17"/>
        <v>36.36</v>
      </c>
      <c r="P147" s="15">
        <f>(inventory_data!$D147-inventory_data!$E147)</f>
        <v>243</v>
      </c>
      <c r="Q147" s="36">
        <f t="shared" si="18"/>
        <v>3098.25</v>
      </c>
      <c r="R147" s="5">
        <f t="shared" ca="1" si="19"/>
        <v>6</v>
      </c>
      <c r="S147" s="5" t="str">
        <f t="shared" ca="1" si="20"/>
        <v>Near Expiry</v>
      </c>
    </row>
    <row r="148" spans="1:19" x14ac:dyDescent="0.3">
      <c r="A148" s="5" t="s">
        <v>222</v>
      </c>
      <c r="B148" s="5" t="s">
        <v>43</v>
      </c>
      <c r="C148" s="47" t="s">
        <v>223</v>
      </c>
      <c r="D148" s="5">
        <v>466</v>
      </c>
      <c r="E148" s="19">
        <v>4</v>
      </c>
      <c r="F148" s="19">
        <v>115.66</v>
      </c>
      <c r="G148" s="19">
        <v>159.87</v>
      </c>
      <c r="H148" s="19">
        <v>1.32</v>
      </c>
      <c r="I148" s="19">
        <v>159.74</v>
      </c>
      <c r="J148" s="20">
        <v>45969</v>
      </c>
      <c r="K148" s="20">
        <v>45819</v>
      </c>
      <c r="L148" s="5" t="s">
        <v>45</v>
      </c>
      <c r="M148" s="21" t="s">
        <v>36</v>
      </c>
      <c r="N148" s="22">
        <f t="shared" ca="1" si="16"/>
        <v>0.4</v>
      </c>
      <c r="O148" s="23">
        <f t="shared" ca="1" si="17"/>
        <v>95.921999999999997</v>
      </c>
      <c r="P148" s="19">
        <f>(inventory_data!$D148-inventory_data!$E148)</f>
        <v>462</v>
      </c>
      <c r="Q148" s="36">
        <f t="shared" si="18"/>
        <v>20425.020000000004</v>
      </c>
      <c r="R148" s="5">
        <f t="shared" ca="1" si="19"/>
        <v>2</v>
      </c>
      <c r="S148" s="5" t="str">
        <f t="shared" ca="1" si="20"/>
        <v>Near Expiry</v>
      </c>
    </row>
    <row r="149" spans="1:19" x14ac:dyDescent="0.3">
      <c r="A149" s="6" t="s">
        <v>224</v>
      </c>
      <c r="B149" s="6" t="s">
        <v>20</v>
      </c>
      <c r="C149" s="6" t="s">
        <v>106</v>
      </c>
      <c r="D149" s="6">
        <v>337</v>
      </c>
      <c r="E149" s="15">
        <v>97</v>
      </c>
      <c r="F149" s="15">
        <v>183.82</v>
      </c>
      <c r="G149" s="15">
        <v>239.99</v>
      </c>
      <c r="H149" s="15">
        <v>7.63</v>
      </c>
      <c r="I149" s="15">
        <v>239.75</v>
      </c>
      <c r="J149" s="16">
        <v>46344</v>
      </c>
      <c r="K149" s="16">
        <v>45801</v>
      </c>
      <c r="L149" s="6" t="s">
        <v>68</v>
      </c>
      <c r="M149" s="1" t="s">
        <v>28</v>
      </c>
      <c r="N149" s="17">
        <f t="shared" ca="1" si="16"/>
        <v>0.05</v>
      </c>
      <c r="O149" s="18">
        <f t="shared" ca="1" si="17"/>
        <v>227.9905</v>
      </c>
      <c r="P149" s="15">
        <f>(inventory_data!$D149-inventory_data!$E149)</f>
        <v>240</v>
      </c>
      <c r="Q149" s="36">
        <f t="shared" si="18"/>
        <v>13480.800000000003</v>
      </c>
      <c r="R149" s="5">
        <f t="shared" ca="1" si="19"/>
        <v>377</v>
      </c>
      <c r="S149" s="5" t="str">
        <f t="shared" ca="1" si="20"/>
        <v>Far Expiry</v>
      </c>
    </row>
    <row r="150" spans="1:19" x14ac:dyDescent="0.3">
      <c r="A150" s="5" t="s">
        <v>225</v>
      </c>
      <c r="B150" s="5" t="s">
        <v>38</v>
      </c>
      <c r="C150" s="5" t="s">
        <v>39</v>
      </c>
      <c r="D150" s="5">
        <v>81</v>
      </c>
      <c r="E150" s="19">
        <v>11</v>
      </c>
      <c r="F150" s="19">
        <v>17.809999999999999</v>
      </c>
      <c r="G150" s="19">
        <v>26.65</v>
      </c>
      <c r="H150" s="19">
        <v>4.21</v>
      </c>
      <c r="I150" s="19">
        <v>25.17</v>
      </c>
      <c r="J150" s="20">
        <v>46301</v>
      </c>
      <c r="K150" s="20">
        <v>45770</v>
      </c>
      <c r="L150" s="5" t="s">
        <v>40</v>
      </c>
      <c r="M150" s="21" t="s">
        <v>36</v>
      </c>
      <c r="N150" s="22">
        <f t="shared" ca="1" si="16"/>
        <v>0.05</v>
      </c>
      <c r="O150" s="23">
        <f t="shared" ca="1" si="17"/>
        <v>25.317499999999999</v>
      </c>
      <c r="P150" s="19">
        <f>(inventory_data!$D150-inventory_data!$E150)</f>
        <v>70</v>
      </c>
      <c r="Q150" s="36">
        <f t="shared" si="18"/>
        <v>618.79999999999995</v>
      </c>
      <c r="R150" s="5">
        <f t="shared" ca="1" si="19"/>
        <v>334</v>
      </c>
      <c r="S150" s="5" t="str">
        <f t="shared" ca="1" si="20"/>
        <v>Far Expiry</v>
      </c>
    </row>
    <row r="151" spans="1:19" x14ac:dyDescent="0.3">
      <c r="A151" s="6" t="s">
        <v>226</v>
      </c>
      <c r="B151" s="6" t="s">
        <v>20</v>
      </c>
      <c r="C151" s="6" t="s">
        <v>34</v>
      </c>
      <c r="D151" s="6">
        <v>335</v>
      </c>
      <c r="E151" s="15">
        <v>45</v>
      </c>
      <c r="F151" s="15">
        <v>96.04</v>
      </c>
      <c r="G151" s="15">
        <v>133.47999999999999</v>
      </c>
      <c r="H151" s="15">
        <v>4.5</v>
      </c>
      <c r="I151" s="15">
        <v>129.93</v>
      </c>
      <c r="J151" s="16">
        <v>45958</v>
      </c>
      <c r="K151" s="16">
        <v>45813</v>
      </c>
      <c r="L151" s="6" t="s">
        <v>35</v>
      </c>
      <c r="M151" s="1" t="s">
        <v>36</v>
      </c>
      <c r="N151" s="17">
        <f t="shared" ca="1" si="16"/>
        <v>0.4</v>
      </c>
      <c r="O151" s="18">
        <f t="shared" ca="1" si="17"/>
        <v>80.087999999999994</v>
      </c>
      <c r="P151" s="15">
        <f>(inventory_data!$D151-inventory_data!$E151)</f>
        <v>290</v>
      </c>
      <c r="Q151" s="36">
        <f t="shared" si="18"/>
        <v>10857.599999999995</v>
      </c>
      <c r="R151" s="5">
        <f t="shared" ca="1" si="19"/>
        <v>-9</v>
      </c>
      <c r="S151" s="5" t="str">
        <f t="shared" ca="1" si="20"/>
        <v>Near Expiry</v>
      </c>
    </row>
    <row r="152" spans="1:19" x14ac:dyDescent="0.3">
      <c r="A152" s="5" t="s">
        <v>227</v>
      </c>
      <c r="B152" s="5" t="s">
        <v>49</v>
      </c>
      <c r="C152" s="5" t="s">
        <v>98</v>
      </c>
      <c r="D152" s="5">
        <v>406</v>
      </c>
      <c r="E152" s="19">
        <v>162</v>
      </c>
      <c r="F152" s="19">
        <v>160.80000000000001</v>
      </c>
      <c r="G152" s="19">
        <v>235.03</v>
      </c>
      <c r="H152" s="19">
        <v>3.09</v>
      </c>
      <c r="I152" s="19">
        <v>232.63</v>
      </c>
      <c r="J152" s="20">
        <v>46429</v>
      </c>
      <c r="K152" s="20">
        <v>45842</v>
      </c>
      <c r="L152" s="5" t="s">
        <v>32</v>
      </c>
      <c r="M152" s="21" t="s">
        <v>28</v>
      </c>
      <c r="N152" s="22">
        <f t="shared" ca="1" si="16"/>
        <v>0.2</v>
      </c>
      <c r="O152" s="23">
        <f t="shared" ca="1" si="17"/>
        <v>188.024</v>
      </c>
      <c r="P152" s="19">
        <f>(inventory_data!$D152-inventory_data!$E152)</f>
        <v>244</v>
      </c>
      <c r="Q152" s="36">
        <f t="shared" si="18"/>
        <v>18112.12</v>
      </c>
      <c r="R152" s="5">
        <f t="shared" ca="1" si="19"/>
        <v>462</v>
      </c>
      <c r="S152" s="5" t="str">
        <f t="shared" ca="1" si="20"/>
        <v>Far Expiry</v>
      </c>
    </row>
    <row r="153" spans="1:19" x14ac:dyDescent="0.3">
      <c r="A153" s="6" t="s">
        <v>228</v>
      </c>
      <c r="B153" s="6" t="s">
        <v>43</v>
      </c>
      <c r="C153" s="6" t="s">
        <v>149</v>
      </c>
      <c r="D153" s="6">
        <v>274</v>
      </c>
      <c r="E153" s="15">
        <v>220</v>
      </c>
      <c r="F153" s="15">
        <v>56.94</v>
      </c>
      <c r="G153" s="15">
        <v>83.27</v>
      </c>
      <c r="H153" s="15">
        <v>5.43</v>
      </c>
      <c r="I153" s="15">
        <v>82.32</v>
      </c>
      <c r="J153" s="16">
        <v>45900</v>
      </c>
      <c r="K153" s="16">
        <v>45811</v>
      </c>
      <c r="L153" s="6" t="s">
        <v>40</v>
      </c>
      <c r="M153" s="1" t="s">
        <v>28</v>
      </c>
      <c r="N153" s="17">
        <f t="shared" ca="1" si="16"/>
        <v>0.4</v>
      </c>
      <c r="O153" s="18">
        <f t="shared" ca="1" si="17"/>
        <v>49.961999999999996</v>
      </c>
      <c r="P153" s="15">
        <f>(inventory_data!$D153-inventory_data!$E153)</f>
        <v>54</v>
      </c>
      <c r="Q153" s="36">
        <f t="shared" si="18"/>
        <v>1421.82</v>
      </c>
      <c r="R153" s="5">
        <f t="shared" ca="1" si="19"/>
        <v>-67</v>
      </c>
      <c r="S153" s="5" t="str">
        <f t="shared" ca="1" si="20"/>
        <v>Near Expiry</v>
      </c>
    </row>
    <row r="154" spans="1:19" x14ac:dyDescent="0.3">
      <c r="A154" s="5" t="s">
        <v>229</v>
      </c>
      <c r="B154" s="5" t="s">
        <v>43</v>
      </c>
      <c r="C154" s="47" t="s">
        <v>230</v>
      </c>
      <c r="D154" s="5">
        <v>375</v>
      </c>
      <c r="E154" s="19">
        <v>297</v>
      </c>
      <c r="F154" s="19">
        <v>16.5</v>
      </c>
      <c r="G154" s="19">
        <v>24.13</v>
      </c>
      <c r="H154" s="19">
        <v>4.99</v>
      </c>
      <c r="I154" s="19">
        <v>20.71</v>
      </c>
      <c r="J154" s="20">
        <v>45930</v>
      </c>
      <c r="K154" s="20">
        <v>45764</v>
      </c>
      <c r="L154" s="5" t="s">
        <v>45</v>
      </c>
      <c r="M154" s="21" t="s">
        <v>28</v>
      </c>
      <c r="N154" s="22">
        <f t="shared" ca="1" si="16"/>
        <v>0.4</v>
      </c>
      <c r="O154" s="23">
        <f t="shared" ca="1" si="17"/>
        <v>14.477999999999998</v>
      </c>
      <c r="P154" s="19">
        <f>(inventory_data!$D154-inventory_data!$E154)</f>
        <v>78</v>
      </c>
      <c r="Q154" s="36">
        <f t="shared" si="18"/>
        <v>595.13999999999987</v>
      </c>
      <c r="R154" s="5">
        <f t="shared" ca="1" si="19"/>
        <v>-37</v>
      </c>
      <c r="S154" s="5" t="str">
        <f t="shared" ca="1" si="20"/>
        <v>Near Expiry</v>
      </c>
    </row>
    <row r="155" spans="1:19" x14ac:dyDescent="0.3">
      <c r="A155" s="6" t="s">
        <v>231</v>
      </c>
      <c r="B155" s="6" t="s">
        <v>25</v>
      </c>
      <c r="C155" s="6" t="s">
        <v>26</v>
      </c>
      <c r="D155" s="6">
        <v>267</v>
      </c>
      <c r="E155" s="15">
        <v>63</v>
      </c>
      <c r="F155" s="15">
        <v>167.7</v>
      </c>
      <c r="G155" s="15">
        <v>230.61</v>
      </c>
      <c r="H155" s="15">
        <v>7.09</v>
      </c>
      <c r="I155" s="15">
        <v>225.98</v>
      </c>
      <c r="J155" s="16">
        <v>46218</v>
      </c>
      <c r="K155" s="16">
        <v>45789</v>
      </c>
      <c r="L155" s="6" t="s">
        <v>27</v>
      </c>
      <c r="M155" s="1" t="s">
        <v>36</v>
      </c>
      <c r="N155" s="17">
        <f t="shared" ca="1" si="16"/>
        <v>0.05</v>
      </c>
      <c r="O155" s="18">
        <f t="shared" ca="1" si="17"/>
        <v>219.0795</v>
      </c>
      <c r="P155" s="15">
        <f>(inventory_data!$D155-inventory_data!$E155)</f>
        <v>204</v>
      </c>
      <c r="Q155" s="36">
        <f t="shared" si="18"/>
        <v>12833.640000000005</v>
      </c>
      <c r="R155" s="5">
        <f t="shared" ca="1" si="19"/>
        <v>251</v>
      </c>
      <c r="S155" s="5" t="str">
        <f t="shared" ca="1" si="20"/>
        <v>Far Expiry</v>
      </c>
    </row>
    <row r="156" spans="1:19" x14ac:dyDescent="0.3">
      <c r="A156" s="5" t="s">
        <v>232</v>
      </c>
      <c r="B156" s="5" t="s">
        <v>63</v>
      </c>
      <c r="C156" s="5" t="s">
        <v>134</v>
      </c>
      <c r="D156" s="5">
        <v>350</v>
      </c>
      <c r="E156" s="19">
        <v>305</v>
      </c>
      <c r="F156" s="19">
        <v>55.84</v>
      </c>
      <c r="G156" s="19">
        <v>76.13</v>
      </c>
      <c r="H156" s="19">
        <v>7.19</v>
      </c>
      <c r="I156" s="19">
        <v>71.790000000000006</v>
      </c>
      <c r="J156" s="20">
        <v>46426</v>
      </c>
      <c r="K156" s="20">
        <v>45803</v>
      </c>
      <c r="L156" s="5" t="s">
        <v>35</v>
      </c>
      <c r="M156" s="21" t="s">
        <v>28</v>
      </c>
      <c r="N156" s="22">
        <f t="shared" ca="1" si="16"/>
        <v>0.4</v>
      </c>
      <c r="O156" s="23">
        <f t="shared" ca="1" si="17"/>
        <v>45.677999999999997</v>
      </c>
      <c r="P156" s="19">
        <f>(inventory_data!$D156-inventory_data!$E156)</f>
        <v>45</v>
      </c>
      <c r="Q156" s="36">
        <f t="shared" si="18"/>
        <v>913.04999999999961</v>
      </c>
      <c r="R156" s="5">
        <f t="shared" ca="1" si="19"/>
        <v>459</v>
      </c>
      <c r="S156" s="5" t="str">
        <f t="shared" ca="1" si="20"/>
        <v>Far Expiry</v>
      </c>
    </row>
    <row r="157" spans="1:19" x14ac:dyDescent="0.3">
      <c r="A157" s="6" t="s">
        <v>233</v>
      </c>
      <c r="B157" s="6" t="s">
        <v>43</v>
      </c>
      <c r="C157" s="6" t="s">
        <v>149</v>
      </c>
      <c r="D157" s="6">
        <v>110</v>
      </c>
      <c r="E157" s="15">
        <v>70</v>
      </c>
      <c r="F157" s="15">
        <v>70.81</v>
      </c>
      <c r="G157" s="15">
        <v>88.74</v>
      </c>
      <c r="H157" s="15">
        <v>6.91</v>
      </c>
      <c r="I157" s="15">
        <v>87.47</v>
      </c>
      <c r="J157" s="16">
        <v>45900</v>
      </c>
      <c r="K157" s="16">
        <v>45858</v>
      </c>
      <c r="L157" s="6" t="s">
        <v>40</v>
      </c>
      <c r="M157" s="1" t="s">
        <v>36</v>
      </c>
      <c r="N157" s="17">
        <f t="shared" ca="1" si="16"/>
        <v>0.4</v>
      </c>
      <c r="O157" s="18">
        <f t="shared" ca="1" si="17"/>
        <v>53.243999999999993</v>
      </c>
      <c r="P157" s="15">
        <f>(inventory_data!$D157-inventory_data!$E157)</f>
        <v>40</v>
      </c>
      <c r="Q157" s="36">
        <f t="shared" si="18"/>
        <v>717.1999999999997</v>
      </c>
      <c r="R157" s="5">
        <f t="shared" ca="1" si="19"/>
        <v>-67</v>
      </c>
      <c r="S157" s="5" t="str">
        <f t="shared" ca="1" si="20"/>
        <v>Near Expiry</v>
      </c>
    </row>
    <row r="158" spans="1:19" x14ac:dyDescent="0.3">
      <c r="A158" s="5" t="s">
        <v>234</v>
      </c>
      <c r="B158" s="5" t="s">
        <v>43</v>
      </c>
      <c r="C158" s="47" t="s">
        <v>235</v>
      </c>
      <c r="D158" s="5">
        <v>452</v>
      </c>
      <c r="E158" s="19">
        <v>96</v>
      </c>
      <c r="F158" s="19">
        <v>104.7</v>
      </c>
      <c r="G158" s="19">
        <v>132.96</v>
      </c>
      <c r="H158" s="19">
        <v>1.75</v>
      </c>
      <c r="I158" s="19">
        <v>131.93</v>
      </c>
      <c r="J158" s="20">
        <v>46573</v>
      </c>
      <c r="K158" s="20">
        <v>45793</v>
      </c>
      <c r="L158" s="5" t="s">
        <v>45</v>
      </c>
      <c r="M158" s="21" t="s">
        <v>28</v>
      </c>
      <c r="N158" s="22">
        <f t="shared" ca="1" si="16"/>
        <v>0.05</v>
      </c>
      <c r="O158" s="23">
        <f t="shared" ca="1" si="17"/>
        <v>126.312</v>
      </c>
      <c r="P158" s="19">
        <f>(inventory_data!$D158-inventory_data!$E158)</f>
        <v>356</v>
      </c>
      <c r="Q158" s="36">
        <f t="shared" si="18"/>
        <v>10060.560000000001</v>
      </c>
      <c r="R158" s="5">
        <f t="shared" ca="1" si="19"/>
        <v>606</v>
      </c>
      <c r="S158" s="5" t="str">
        <f t="shared" ca="1" si="20"/>
        <v>Far Expiry</v>
      </c>
    </row>
    <row r="159" spans="1:19" x14ac:dyDescent="0.3">
      <c r="A159" s="6" t="s">
        <v>236</v>
      </c>
      <c r="B159" s="6" t="s">
        <v>63</v>
      </c>
      <c r="C159" s="6" t="s">
        <v>134</v>
      </c>
      <c r="D159" s="6">
        <v>411</v>
      </c>
      <c r="E159" s="15">
        <v>134</v>
      </c>
      <c r="F159" s="15">
        <v>55.16</v>
      </c>
      <c r="G159" s="15">
        <v>75.44</v>
      </c>
      <c r="H159" s="15">
        <v>3.34</v>
      </c>
      <c r="I159" s="15">
        <v>72.28</v>
      </c>
      <c r="J159" s="16">
        <v>46608</v>
      </c>
      <c r="K159" s="16">
        <v>45749</v>
      </c>
      <c r="L159" s="6" t="s">
        <v>35</v>
      </c>
      <c r="M159" s="1" t="s">
        <v>28</v>
      </c>
      <c r="N159" s="17">
        <f t="shared" ca="1" si="16"/>
        <v>0.2</v>
      </c>
      <c r="O159" s="18">
        <f t="shared" ca="1" si="17"/>
        <v>60.352000000000004</v>
      </c>
      <c r="P159" s="15">
        <f>(inventory_data!$D159-inventory_data!$E159)</f>
        <v>277</v>
      </c>
      <c r="Q159" s="36">
        <f t="shared" si="18"/>
        <v>5617.56</v>
      </c>
      <c r="R159" s="5">
        <f t="shared" ca="1" si="19"/>
        <v>641</v>
      </c>
      <c r="S159" s="5" t="str">
        <f t="shared" ca="1" si="20"/>
        <v>Far Expiry</v>
      </c>
    </row>
    <row r="160" spans="1:19" x14ac:dyDescent="0.3">
      <c r="A160" s="5" t="s">
        <v>237</v>
      </c>
      <c r="B160" s="5" t="s">
        <v>38</v>
      </c>
      <c r="C160" s="5" t="s">
        <v>199</v>
      </c>
      <c r="D160" s="5">
        <v>135</v>
      </c>
      <c r="E160" s="19">
        <v>29</v>
      </c>
      <c r="F160" s="19">
        <v>28.54</v>
      </c>
      <c r="G160" s="19">
        <v>41.98</v>
      </c>
      <c r="H160" s="19">
        <v>4.82</v>
      </c>
      <c r="I160" s="19">
        <v>39.94</v>
      </c>
      <c r="J160" s="20">
        <v>46002</v>
      </c>
      <c r="K160" s="20">
        <v>45858</v>
      </c>
      <c r="L160" s="5" t="s">
        <v>40</v>
      </c>
      <c r="M160" s="21" t="s">
        <v>36</v>
      </c>
      <c r="N160" s="22">
        <f t="shared" ca="1" si="16"/>
        <v>0.2</v>
      </c>
      <c r="O160" s="23">
        <f t="shared" ca="1" si="17"/>
        <v>33.583999999999996</v>
      </c>
      <c r="P160" s="19">
        <f>(inventory_data!$D160-inventory_data!$E160)</f>
        <v>106</v>
      </c>
      <c r="Q160" s="36">
        <f t="shared" si="18"/>
        <v>1424.6399999999999</v>
      </c>
      <c r="R160" s="5">
        <f t="shared" ca="1" si="19"/>
        <v>35</v>
      </c>
      <c r="S160" s="5" t="str">
        <f t="shared" ca="1" si="20"/>
        <v>Near Expiry</v>
      </c>
    </row>
    <row r="161" spans="1:19" x14ac:dyDescent="0.3">
      <c r="A161" s="6" t="s">
        <v>238</v>
      </c>
      <c r="B161" s="6" t="s">
        <v>20</v>
      </c>
      <c r="C161" s="6" t="s">
        <v>21</v>
      </c>
      <c r="D161" s="6">
        <v>164</v>
      </c>
      <c r="E161" s="15">
        <v>84</v>
      </c>
      <c r="F161" s="15">
        <v>58.79</v>
      </c>
      <c r="G161" s="15">
        <v>79.89</v>
      </c>
      <c r="H161" s="15">
        <v>6.19</v>
      </c>
      <c r="I161" s="15">
        <v>74.56</v>
      </c>
      <c r="J161" s="16">
        <v>46402</v>
      </c>
      <c r="K161" s="16">
        <v>45853</v>
      </c>
      <c r="L161" s="6" t="s">
        <v>22</v>
      </c>
      <c r="M161" s="1" t="s">
        <v>28</v>
      </c>
      <c r="N161" s="17">
        <f t="shared" ca="1" si="16"/>
        <v>0.05</v>
      </c>
      <c r="O161" s="18">
        <f t="shared" ca="1" si="17"/>
        <v>75.895499999999998</v>
      </c>
      <c r="P161" s="15">
        <f>(inventory_data!$D161-inventory_data!$E161)</f>
        <v>80</v>
      </c>
      <c r="Q161" s="36">
        <f t="shared" si="18"/>
        <v>1688</v>
      </c>
      <c r="R161" s="5">
        <f t="shared" ca="1" si="19"/>
        <v>435</v>
      </c>
      <c r="S161" s="5" t="str">
        <f t="shared" ca="1" si="20"/>
        <v>Far Expiry</v>
      </c>
    </row>
    <row r="162" spans="1:19" x14ac:dyDescent="0.3">
      <c r="A162" s="5" t="s">
        <v>239</v>
      </c>
      <c r="B162" s="5" t="s">
        <v>38</v>
      </c>
      <c r="C162" s="5" t="s">
        <v>53</v>
      </c>
      <c r="D162" s="5">
        <v>387</v>
      </c>
      <c r="E162" s="19">
        <v>338</v>
      </c>
      <c r="F162" s="19">
        <v>99.28</v>
      </c>
      <c r="G162" s="19">
        <v>135.83000000000001</v>
      </c>
      <c r="H162" s="19">
        <v>6.55</v>
      </c>
      <c r="I162" s="19">
        <v>132.68</v>
      </c>
      <c r="J162" s="20">
        <v>45931</v>
      </c>
      <c r="K162" s="20">
        <v>45781</v>
      </c>
      <c r="L162" s="5" t="s">
        <v>32</v>
      </c>
      <c r="M162" s="21" t="s">
        <v>28</v>
      </c>
      <c r="N162" s="22">
        <f t="shared" ref="N162:N193" ca="1" si="21">IF(OR(E162&gt;200,J162&lt;=TODAY()+30),0.4,
   IF(OR(AND(E162&gt;=100,E162&lt;=200),J162&lt;=TODAY()+90),0.2,0.05))</f>
        <v>0.4</v>
      </c>
      <c r="O162" s="23">
        <f t="shared" ref="O162:O193" ca="1" si="22">G162*(1-N162)</f>
        <v>81.498000000000005</v>
      </c>
      <c r="P162" s="19">
        <f>(inventory_data!$D162-inventory_data!$E162)</f>
        <v>49</v>
      </c>
      <c r="Q162" s="36">
        <f t="shared" ref="Q162:Q193" si="23">(G162-F162)*P162</f>
        <v>1790.9500000000005</v>
      </c>
      <c r="R162" s="5">
        <f t="shared" ca="1" si="19"/>
        <v>-36</v>
      </c>
      <c r="S162" s="5" t="str">
        <f t="shared" ca="1" si="20"/>
        <v>Near Expiry</v>
      </c>
    </row>
    <row r="163" spans="1:19" x14ac:dyDescent="0.3">
      <c r="A163" s="6" t="s">
        <v>240</v>
      </c>
      <c r="B163" s="6" t="s">
        <v>20</v>
      </c>
      <c r="C163" s="6" t="s">
        <v>34</v>
      </c>
      <c r="D163" s="6">
        <v>236</v>
      </c>
      <c r="E163" s="15">
        <v>28</v>
      </c>
      <c r="F163" s="15">
        <v>160.91</v>
      </c>
      <c r="G163" s="15">
        <v>209.16</v>
      </c>
      <c r="H163" s="15">
        <v>6.81</v>
      </c>
      <c r="I163" s="15">
        <v>203.66</v>
      </c>
      <c r="J163" s="16">
        <v>45975</v>
      </c>
      <c r="K163" s="16">
        <v>45860</v>
      </c>
      <c r="L163" s="6" t="s">
        <v>35</v>
      </c>
      <c r="M163" s="1" t="s">
        <v>36</v>
      </c>
      <c r="N163" s="17">
        <f t="shared" ca="1" si="21"/>
        <v>0.4</v>
      </c>
      <c r="O163" s="18">
        <f t="shared" ca="1" si="22"/>
        <v>125.496</v>
      </c>
      <c r="P163" s="15">
        <f>(inventory_data!$D163-inventory_data!$E163)</f>
        <v>208</v>
      </c>
      <c r="Q163" s="36">
        <f t="shared" si="23"/>
        <v>10036</v>
      </c>
      <c r="R163" s="5">
        <f t="shared" ca="1" si="19"/>
        <v>8</v>
      </c>
      <c r="S163" s="5" t="str">
        <f t="shared" ca="1" si="20"/>
        <v>Near Expiry</v>
      </c>
    </row>
    <row r="164" spans="1:19" x14ac:dyDescent="0.3">
      <c r="A164" s="5" t="s">
        <v>241</v>
      </c>
      <c r="B164" s="5" t="s">
        <v>20</v>
      </c>
      <c r="C164" s="5" t="s">
        <v>21</v>
      </c>
      <c r="D164" s="5">
        <v>337</v>
      </c>
      <c r="E164" s="19">
        <v>210</v>
      </c>
      <c r="F164" s="19">
        <v>177.78</v>
      </c>
      <c r="G164" s="19">
        <v>258.18</v>
      </c>
      <c r="H164" s="19">
        <v>4.18</v>
      </c>
      <c r="I164" s="19">
        <v>255.43</v>
      </c>
      <c r="J164" s="20">
        <v>46441</v>
      </c>
      <c r="K164" s="20">
        <v>45757</v>
      </c>
      <c r="L164" s="5" t="s">
        <v>22</v>
      </c>
      <c r="M164" s="21" t="s">
        <v>28</v>
      </c>
      <c r="N164" s="22">
        <f t="shared" ca="1" si="21"/>
        <v>0.4</v>
      </c>
      <c r="O164" s="23">
        <f t="shared" ca="1" si="22"/>
        <v>154.90799999999999</v>
      </c>
      <c r="P164" s="19">
        <f>(inventory_data!$D164-inventory_data!$E164)</f>
        <v>127</v>
      </c>
      <c r="Q164" s="36">
        <f t="shared" si="23"/>
        <v>10210.800000000001</v>
      </c>
      <c r="R164" s="5">
        <f t="shared" ca="1" si="19"/>
        <v>474</v>
      </c>
      <c r="S164" s="5" t="str">
        <f t="shared" ca="1" si="20"/>
        <v>Far Expiry</v>
      </c>
    </row>
    <row r="165" spans="1:19" x14ac:dyDescent="0.3">
      <c r="A165" s="6" t="s">
        <v>242</v>
      </c>
      <c r="B165" s="6" t="s">
        <v>38</v>
      </c>
      <c r="C165" s="6" t="s">
        <v>39</v>
      </c>
      <c r="D165" s="6">
        <v>229</v>
      </c>
      <c r="E165" s="15">
        <v>18</v>
      </c>
      <c r="F165" s="15">
        <v>70.260000000000005</v>
      </c>
      <c r="G165" s="15">
        <v>86.17</v>
      </c>
      <c r="H165" s="15">
        <v>9.66</v>
      </c>
      <c r="I165" s="15">
        <v>84.19</v>
      </c>
      <c r="J165" s="16">
        <v>46332</v>
      </c>
      <c r="K165" s="16">
        <v>45778</v>
      </c>
      <c r="L165" s="6" t="s">
        <v>40</v>
      </c>
      <c r="M165" s="1" t="s">
        <v>36</v>
      </c>
      <c r="N165" s="17">
        <f t="shared" ca="1" si="21"/>
        <v>0.05</v>
      </c>
      <c r="O165" s="18">
        <f t="shared" ca="1" si="22"/>
        <v>81.861499999999992</v>
      </c>
      <c r="P165" s="15">
        <f>(inventory_data!$D165-inventory_data!$E165)</f>
        <v>211</v>
      </c>
      <c r="Q165" s="36">
        <f t="shared" si="23"/>
        <v>3357.0099999999993</v>
      </c>
      <c r="R165" s="5">
        <f t="shared" ca="1" si="19"/>
        <v>365</v>
      </c>
      <c r="S165" s="5" t="str">
        <f t="shared" ca="1" si="20"/>
        <v>Far Expiry</v>
      </c>
    </row>
    <row r="166" spans="1:19" x14ac:dyDescent="0.3">
      <c r="A166" s="5" t="s">
        <v>243</v>
      </c>
      <c r="B166" s="5" t="s">
        <v>25</v>
      </c>
      <c r="C166" s="5" t="s">
        <v>90</v>
      </c>
      <c r="D166" s="5">
        <v>235</v>
      </c>
      <c r="E166" s="19">
        <v>45</v>
      </c>
      <c r="F166" s="19">
        <v>111.11</v>
      </c>
      <c r="G166" s="19">
        <v>142.16999999999999</v>
      </c>
      <c r="H166" s="19">
        <v>9.89</v>
      </c>
      <c r="I166" s="19">
        <v>134.22</v>
      </c>
      <c r="J166" s="20">
        <v>45900</v>
      </c>
      <c r="K166" s="20">
        <v>45838</v>
      </c>
      <c r="L166" s="5" t="s">
        <v>27</v>
      </c>
      <c r="M166" s="21" t="s">
        <v>36</v>
      </c>
      <c r="N166" s="22">
        <f t="shared" ca="1" si="21"/>
        <v>0.4</v>
      </c>
      <c r="O166" s="23">
        <f t="shared" ca="1" si="22"/>
        <v>85.301999999999992</v>
      </c>
      <c r="P166" s="19">
        <f>(inventory_data!$D166-inventory_data!$E166)</f>
        <v>190</v>
      </c>
      <c r="Q166" s="36">
        <f t="shared" si="23"/>
        <v>5901.3999999999978</v>
      </c>
      <c r="R166" s="5">
        <f t="shared" ca="1" si="19"/>
        <v>-67</v>
      </c>
      <c r="S166" s="5" t="str">
        <f t="shared" ca="1" si="20"/>
        <v>Near Expiry</v>
      </c>
    </row>
    <row r="167" spans="1:19" x14ac:dyDescent="0.3">
      <c r="A167" s="6" t="s">
        <v>244</v>
      </c>
      <c r="B167" s="6" t="s">
        <v>30</v>
      </c>
      <c r="C167" s="6" t="s">
        <v>31</v>
      </c>
      <c r="D167" s="6">
        <v>53</v>
      </c>
      <c r="E167" s="15">
        <v>46</v>
      </c>
      <c r="F167" s="15">
        <v>157.96</v>
      </c>
      <c r="G167" s="15">
        <v>235.1</v>
      </c>
      <c r="H167" s="15">
        <v>3.01</v>
      </c>
      <c r="I167" s="15">
        <v>234.04</v>
      </c>
      <c r="J167" s="16">
        <v>46051</v>
      </c>
      <c r="K167" s="16">
        <v>45778</v>
      </c>
      <c r="L167" s="6" t="s">
        <v>32</v>
      </c>
      <c r="M167" s="1" t="s">
        <v>36</v>
      </c>
      <c r="N167" s="17">
        <f t="shared" ca="1" si="21"/>
        <v>0.2</v>
      </c>
      <c r="O167" s="18">
        <f t="shared" ca="1" si="22"/>
        <v>188.08</v>
      </c>
      <c r="P167" s="15">
        <f>(inventory_data!$D167-inventory_data!$E167)</f>
        <v>7</v>
      </c>
      <c r="Q167" s="36">
        <f t="shared" si="23"/>
        <v>539.9799999999999</v>
      </c>
      <c r="R167" s="5">
        <f t="shared" ca="1" si="19"/>
        <v>84</v>
      </c>
      <c r="S167" s="5" t="str">
        <f t="shared" ca="1" si="20"/>
        <v>Far Expiry</v>
      </c>
    </row>
    <row r="168" spans="1:19" x14ac:dyDescent="0.3">
      <c r="A168" s="5" t="s">
        <v>245</v>
      </c>
      <c r="B168" s="5" t="s">
        <v>63</v>
      </c>
      <c r="C168" s="5" t="s">
        <v>134</v>
      </c>
      <c r="D168" s="5">
        <v>56</v>
      </c>
      <c r="E168" s="19">
        <v>28</v>
      </c>
      <c r="F168" s="19">
        <v>84.29</v>
      </c>
      <c r="G168" s="19">
        <v>116.96</v>
      </c>
      <c r="H168" s="19">
        <v>8.67</v>
      </c>
      <c r="I168" s="19">
        <v>115.64</v>
      </c>
      <c r="J168" s="20">
        <v>45978</v>
      </c>
      <c r="K168" s="20">
        <v>45855</v>
      </c>
      <c r="L168" s="5" t="s">
        <v>35</v>
      </c>
      <c r="M168" s="21" t="s">
        <v>36</v>
      </c>
      <c r="N168" s="22">
        <f t="shared" ca="1" si="21"/>
        <v>0.4</v>
      </c>
      <c r="O168" s="23">
        <f t="shared" ca="1" si="22"/>
        <v>70.175999999999988</v>
      </c>
      <c r="P168" s="19">
        <f>(inventory_data!$D168-inventory_data!$E168)</f>
        <v>28</v>
      </c>
      <c r="Q168" s="36">
        <f t="shared" si="23"/>
        <v>914.75999999999965</v>
      </c>
      <c r="R168" s="5">
        <f t="shared" ca="1" si="19"/>
        <v>11</v>
      </c>
      <c r="S168" s="5" t="str">
        <f t="shared" ca="1" si="20"/>
        <v>Near Expiry</v>
      </c>
    </row>
    <row r="169" spans="1:19" x14ac:dyDescent="0.3">
      <c r="A169" s="6" t="s">
        <v>246</v>
      </c>
      <c r="B169" s="6" t="s">
        <v>38</v>
      </c>
      <c r="C169" s="6" t="s">
        <v>39</v>
      </c>
      <c r="D169" s="6">
        <v>80</v>
      </c>
      <c r="E169" s="15">
        <v>29</v>
      </c>
      <c r="F169" s="15">
        <v>147.5</v>
      </c>
      <c r="G169" s="15">
        <v>198.73</v>
      </c>
      <c r="H169" s="15">
        <v>1.47</v>
      </c>
      <c r="I169" s="15">
        <v>198.32</v>
      </c>
      <c r="J169" s="16">
        <v>46361</v>
      </c>
      <c r="K169" s="16">
        <v>45762</v>
      </c>
      <c r="L169" s="6" t="s">
        <v>40</v>
      </c>
      <c r="M169" s="1" t="s">
        <v>36</v>
      </c>
      <c r="N169" s="17">
        <f t="shared" ca="1" si="21"/>
        <v>0.05</v>
      </c>
      <c r="O169" s="18">
        <f t="shared" ca="1" si="22"/>
        <v>188.79349999999999</v>
      </c>
      <c r="P169" s="15">
        <f>(inventory_data!$D169-inventory_data!$E169)</f>
        <v>51</v>
      </c>
      <c r="Q169" s="36">
        <f t="shared" si="23"/>
        <v>2612.7299999999996</v>
      </c>
      <c r="R169" s="5">
        <f t="shared" ca="1" si="19"/>
        <v>394</v>
      </c>
      <c r="S169" s="5" t="str">
        <f t="shared" ca="1" si="20"/>
        <v>Far Expiry</v>
      </c>
    </row>
    <row r="170" spans="1:19" x14ac:dyDescent="0.3">
      <c r="A170" s="5" t="s">
        <v>247</v>
      </c>
      <c r="B170" s="5" t="s">
        <v>38</v>
      </c>
      <c r="C170" s="5" t="s">
        <v>53</v>
      </c>
      <c r="D170" s="5">
        <v>223</v>
      </c>
      <c r="E170" s="19">
        <v>133</v>
      </c>
      <c r="F170" s="19">
        <v>44.72</v>
      </c>
      <c r="G170" s="19">
        <v>61.26</v>
      </c>
      <c r="H170" s="19">
        <v>7.75</v>
      </c>
      <c r="I170" s="19">
        <v>55.22</v>
      </c>
      <c r="J170" s="20">
        <v>46407</v>
      </c>
      <c r="K170" s="20">
        <v>45782</v>
      </c>
      <c r="L170" s="5" t="s">
        <v>32</v>
      </c>
      <c r="M170" s="21" t="s">
        <v>28</v>
      </c>
      <c r="N170" s="22">
        <f t="shared" ca="1" si="21"/>
        <v>0.2</v>
      </c>
      <c r="O170" s="23">
        <f t="shared" ca="1" si="22"/>
        <v>49.008000000000003</v>
      </c>
      <c r="P170" s="19">
        <f>(inventory_data!$D170-inventory_data!$E170)</f>
        <v>90</v>
      </c>
      <c r="Q170" s="36">
        <f t="shared" si="23"/>
        <v>1488.6</v>
      </c>
      <c r="R170" s="5">
        <f t="shared" ca="1" si="19"/>
        <v>440</v>
      </c>
      <c r="S170" s="5" t="str">
        <f t="shared" ca="1" si="20"/>
        <v>Far Expiry</v>
      </c>
    </row>
    <row r="171" spans="1:19" x14ac:dyDescent="0.3">
      <c r="A171" s="6" t="s">
        <v>248</v>
      </c>
      <c r="B171" s="6" t="s">
        <v>49</v>
      </c>
      <c r="C171" s="6" t="s">
        <v>98</v>
      </c>
      <c r="D171" s="6">
        <v>112</v>
      </c>
      <c r="E171" s="15">
        <v>57</v>
      </c>
      <c r="F171" s="15">
        <v>73.680000000000007</v>
      </c>
      <c r="G171" s="15">
        <v>108.93</v>
      </c>
      <c r="H171" s="15">
        <v>4.3899999999999997</v>
      </c>
      <c r="I171" s="15">
        <v>108.18</v>
      </c>
      <c r="J171" s="16">
        <v>46243</v>
      </c>
      <c r="K171" s="16">
        <v>45808</v>
      </c>
      <c r="L171" s="6" t="s">
        <v>32</v>
      </c>
      <c r="M171" s="1" t="s">
        <v>36</v>
      </c>
      <c r="N171" s="17">
        <f t="shared" ca="1" si="21"/>
        <v>0.05</v>
      </c>
      <c r="O171" s="18">
        <f t="shared" ca="1" si="22"/>
        <v>103.48350000000001</v>
      </c>
      <c r="P171" s="15">
        <f>(inventory_data!$D171-inventory_data!$E171)</f>
        <v>55</v>
      </c>
      <c r="Q171" s="36">
        <f t="shared" si="23"/>
        <v>1938.75</v>
      </c>
      <c r="R171" s="5">
        <f t="shared" ca="1" si="19"/>
        <v>276</v>
      </c>
      <c r="S171" s="5" t="str">
        <f t="shared" ca="1" si="20"/>
        <v>Far Expiry</v>
      </c>
    </row>
    <row r="172" spans="1:19" x14ac:dyDescent="0.3">
      <c r="A172" s="5" t="s">
        <v>249</v>
      </c>
      <c r="B172" s="5" t="s">
        <v>49</v>
      </c>
      <c r="C172" s="5" t="s">
        <v>50</v>
      </c>
      <c r="D172" s="5">
        <v>353</v>
      </c>
      <c r="E172" s="19">
        <v>76</v>
      </c>
      <c r="F172" s="19">
        <v>72.59</v>
      </c>
      <c r="G172" s="19">
        <v>96.02</v>
      </c>
      <c r="H172" s="19">
        <v>8.69</v>
      </c>
      <c r="I172" s="19">
        <v>95.53</v>
      </c>
      <c r="J172" s="20">
        <v>46593</v>
      </c>
      <c r="K172" s="20">
        <v>45773</v>
      </c>
      <c r="L172" s="5" t="s">
        <v>51</v>
      </c>
      <c r="M172" s="21" t="s">
        <v>36</v>
      </c>
      <c r="N172" s="22">
        <f t="shared" ca="1" si="21"/>
        <v>0.05</v>
      </c>
      <c r="O172" s="23">
        <f t="shared" ca="1" si="22"/>
        <v>91.218999999999994</v>
      </c>
      <c r="P172" s="19">
        <f>(inventory_data!$D172-inventory_data!$E172)</f>
        <v>277</v>
      </c>
      <c r="Q172" s="36">
        <f t="shared" si="23"/>
        <v>6490.1099999999979</v>
      </c>
      <c r="R172" s="5">
        <f t="shared" ca="1" si="19"/>
        <v>626</v>
      </c>
      <c r="S172" s="5" t="str">
        <f t="shared" ca="1" si="20"/>
        <v>Far Expiry</v>
      </c>
    </row>
    <row r="173" spans="1:19" x14ac:dyDescent="0.3">
      <c r="A173" s="6" t="s">
        <v>250</v>
      </c>
      <c r="B173" s="6" t="s">
        <v>20</v>
      </c>
      <c r="C173" s="6" t="s">
        <v>21</v>
      </c>
      <c r="D173" s="6">
        <v>150</v>
      </c>
      <c r="E173" s="15">
        <v>110</v>
      </c>
      <c r="F173" s="15">
        <v>32.82</v>
      </c>
      <c r="G173" s="15">
        <v>40.950000000000003</v>
      </c>
      <c r="H173" s="15">
        <v>7.61</v>
      </c>
      <c r="I173" s="15">
        <v>35.01</v>
      </c>
      <c r="J173" s="16">
        <v>46408</v>
      </c>
      <c r="K173" s="16">
        <v>45831</v>
      </c>
      <c r="L173" s="6" t="s">
        <v>22</v>
      </c>
      <c r="M173" s="1" t="s">
        <v>28</v>
      </c>
      <c r="N173" s="17">
        <f t="shared" ca="1" si="21"/>
        <v>0.2</v>
      </c>
      <c r="O173" s="18">
        <f t="shared" ca="1" si="22"/>
        <v>32.760000000000005</v>
      </c>
      <c r="P173" s="15">
        <f>(inventory_data!$D173-inventory_data!$E173)</f>
        <v>40</v>
      </c>
      <c r="Q173" s="36">
        <f t="shared" si="23"/>
        <v>325.2000000000001</v>
      </c>
      <c r="R173" s="5">
        <f t="shared" ca="1" si="19"/>
        <v>441</v>
      </c>
      <c r="S173" s="5" t="str">
        <f t="shared" ca="1" si="20"/>
        <v>Far Expiry</v>
      </c>
    </row>
    <row r="174" spans="1:19" x14ac:dyDescent="0.3">
      <c r="A174" s="5" t="s">
        <v>251</v>
      </c>
      <c r="B174" s="5" t="s">
        <v>55</v>
      </c>
      <c r="C174" s="5" t="s">
        <v>85</v>
      </c>
      <c r="D174" s="5">
        <v>242</v>
      </c>
      <c r="E174" s="19">
        <v>229</v>
      </c>
      <c r="F174" s="19">
        <v>124.54</v>
      </c>
      <c r="G174" s="19">
        <v>151.80000000000001</v>
      </c>
      <c r="H174" s="19">
        <v>6.16</v>
      </c>
      <c r="I174" s="19">
        <v>148.55000000000001</v>
      </c>
      <c r="J174" s="20">
        <v>45900</v>
      </c>
      <c r="K174" s="20">
        <v>45900</v>
      </c>
      <c r="L174" s="5" t="s">
        <v>86</v>
      </c>
      <c r="M174" s="21" t="s">
        <v>28</v>
      </c>
      <c r="N174" s="22">
        <f t="shared" ca="1" si="21"/>
        <v>0.4</v>
      </c>
      <c r="O174" s="23">
        <f t="shared" ca="1" si="22"/>
        <v>91.08</v>
      </c>
      <c r="P174" s="19">
        <f>(inventory_data!$D174-inventory_data!$E174)</f>
        <v>13</v>
      </c>
      <c r="Q174" s="36">
        <f t="shared" si="23"/>
        <v>354.38000000000005</v>
      </c>
      <c r="R174" s="5">
        <f t="shared" ca="1" si="19"/>
        <v>-67</v>
      </c>
      <c r="S174" s="5" t="str">
        <f t="shared" ca="1" si="20"/>
        <v>Near Expiry</v>
      </c>
    </row>
    <row r="175" spans="1:19" x14ac:dyDescent="0.3">
      <c r="A175" s="6" t="s">
        <v>252</v>
      </c>
      <c r="B175" s="6" t="s">
        <v>43</v>
      </c>
      <c r="C175" s="6" t="s">
        <v>149</v>
      </c>
      <c r="D175" s="6">
        <v>488</v>
      </c>
      <c r="E175" s="15">
        <v>24</v>
      </c>
      <c r="F175" s="15">
        <v>97.23</v>
      </c>
      <c r="G175" s="15">
        <v>124.16</v>
      </c>
      <c r="H175" s="15">
        <v>5</v>
      </c>
      <c r="I175" s="15">
        <v>120.29</v>
      </c>
      <c r="J175" s="20">
        <v>45901</v>
      </c>
      <c r="K175" s="16">
        <v>45856</v>
      </c>
      <c r="L175" s="6" t="s">
        <v>40</v>
      </c>
      <c r="M175" s="1" t="s">
        <v>36</v>
      </c>
      <c r="N175" s="17">
        <f t="shared" ca="1" si="21"/>
        <v>0.4</v>
      </c>
      <c r="O175" s="18">
        <f t="shared" ca="1" si="22"/>
        <v>74.495999999999995</v>
      </c>
      <c r="P175" s="15">
        <f>(inventory_data!$D175-inventory_data!$E175)</f>
        <v>464</v>
      </c>
      <c r="Q175" s="36">
        <f t="shared" si="23"/>
        <v>12495.519999999997</v>
      </c>
      <c r="R175" s="5">
        <f t="shared" ca="1" si="19"/>
        <v>-66</v>
      </c>
      <c r="S175" s="5" t="str">
        <f t="shared" ca="1" si="20"/>
        <v>Near Expiry</v>
      </c>
    </row>
    <row r="176" spans="1:19" x14ac:dyDescent="0.3">
      <c r="A176" s="5" t="s">
        <v>253</v>
      </c>
      <c r="B176" s="5" t="s">
        <v>30</v>
      </c>
      <c r="C176" s="5" t="s">
        <v>31</v>
      </c>
      <c r="D176" s="5">
        <v>294</v>
      </c>
      <c r="E176" s="19">
        <v>183</v>
      </c>
      <c r="F176" s="19">
        <v>195.7</v>
      </c>
      <c r="G176" s="19">
        <v>281.02</v>
      </c>
      <c r="H176" s="19">
        <v>8.0399999999999991</v>
      </c>
      <c r="I176" s="19">
        <v>274.41000000000003</v>
      </c>
      <c r="J176" s="20">
        <v>46224</v>
      </c>
      <c r="K176" s="20">
        <v>45819</v>
      </c>
      <c r="L176" s="5" t="s">
        <v>32</v>
      </c>
      <c r="M176" s="21" t="s">
        <v>28</v>
      </c>
      <c r="N176" s="22">
        <f t="shared" ca="1" si="21"/>
        <v>0.2</v>
      </c>
      <c r="O176" s="23">
        <f t="shared" ca="1" si="22"/>
        <v>224.816</v>
      </c>
      <c r="P176" s="19">
        <f>(inventory_data!$D176-inventory_data!$E176)</f>
        <v>111</v>
      </c>
      <c r="Q176" s="36">
        <f t="shared" si="23"/>
        <v>9470.5199999999986</v>
      </c>
      <c r="R176" s="5">
        <f t="shared" ca="1" si="19"/>
        <v>257</v>
      </c>
      <c r="S176" s="5" t="str">
        <f t="shared" ca="1" si="20"/>
        <v>Far Expiry</v>
      </c>
    </row>
    <row r="177" spans="1:19" x14ac:dyDescent="0.3">
      <c r="A177" s="6" t="s">
        <v>254</v>
      </c>
      <c r="B177" s="6" t="s">
        <v>55</v>
      </c>
      <c r="C177" s="6" t="s">
        <v>85</v>
      </c>
      <c r="D177" s="6">
        <v>118</v>
      </c>
      <c r="E177" s="15">
        <v>92</v>
      </c>
      <c r="F177" s="15">
        <v>124.47</v>
      </c>
      <c r="G177" s="15">
        <v>152.56</v>
      </c>
      <c r="H177" s="15">
        <v>6.05</v>
      </c>
      <c r="I177" s="15">
        <v>149.91</v>
      </c>
      <c r="J177" s="16">
        <v>45900</v>
      </c>
      <c r="K177" s="16">
        <v>45823</v>
      </c>
      <c r="L177" s="6" t="s">
        <v>86</v>
      </c>
      <c r="M177" s="1" t="s">
        <v>28</v>
      </c>
      <c r="N177" s="17">
        <f t="shared" ca="1" si="21"/>
        <v>0.4</v>
      </c>
      <c r="O177" s="18">
        <f t="shared" ca="1" si="22"/>
        <v>91.536000000000001</v>
      </c>
      <c r="P177" s="15">
        <f>(inventory_data!$D177-inventory_data!$E177)</f>
        <v>26</v>
      </c>
      <c r="Q177" s="36">
        <f t="shared" si="23"/>
        <v>730.34000000000015</v>
      </c>
      <c r="R177" s="5">
        <f t="shared" ca="1" si="19"/>
        <v>-67</v>
      </c>
      <c r="S177" s="5" t="str">
        <f t="shared" ca="1" si="20"/>
        <v>Near Expiry</v>
      </c>
    </row>
    <row r="178" spans="1:19" x14ac:dyDescent="0.3">
      <c r="A178" s="5" t="s">
        <v>255</v>
      </c>
      <c r="B178" s="5" t="s">
        <v>30</v>
      </c>
      <c r="C178" s="5" t="s">
        <v>256</v>
      </c>
      <c r="D178" s="5">
        <v>415</v>
      </c>
      <c r="E178" s="19">
        <v>275</v>
      </c>
      <c r="F178" s="19">
        <v>118.82</v>
      </c>
      <c r="G178" s="19">
        <v>158.58000000000001</v>
      </c>
      <c r="H178" s="19">
        <v>2.7</v>
      </c>
      <c r="I178" s="19">
        <v>156.69</v>
      </c>
      <c r="J178" s="20">
        <v>46540</v>
      </c>
      <c r="K178" s="20">
        <v>45843</v>
      </c>
      <c r="L178" s="5" t="s">
        <v>32</v>
      </c>
      <c r="M178" s="21" t="s">
        <v>28</v>
      </c>
      <c r="N178" s="22">
        <f t="shared" ca="1" si="21"/>
        <v>0.4</v>
      </c>
      <c r="O178" s="23">
        <f t="shared" ca="1" si="22"/>
        <v>95.14800000000001</v>
      </c>
      <c r="P178" s="19">
        <f>(inventory_data!$D178-inventory_data!$E178)</f>
        <v>140</v>
      </c>
      <c r="Q178" s="36">
        <f t="shared" si="23"/>
        <v>5566.4000000000024</v>
      </c>
      <c r="R178" s="5">
        <f t="shared" ca="1" si="19"/>
        <v>573</v>
      </c>
      <c r="S178" s="5" t="str">
        <f t="shared" ca="1" si="20"/>
        <v>Far Expiry</v>
      </c>
    </row>
    <row r="179" spans="1:19" x14ac:dyDescent="0.3">
      <c r="A179" s="6" t="s">
        <v>257</v>
      </c>
      <c r="B179" s="6" t="s">
        <v>55</v>
      </c>
      <c r="C179" s="6" t="s">
        <v>56</v>
      </c>
      <c r="D179" s="6">
        <v>344</v>
      </c>
      <c r="E179" s="15">
        <v>115</v>
      </c>
      <c r="F179" s="15">
        <v>83.69</v>
      </c>
      <c r="G179" s="15">
        <v>115.76</v>
      </c>
      <c r="H179" s="15">
        <v>6.8</v>
      </c>
      <c r="I179" s="15">
        <v>115.19</v>
      </c>
      <c r="J179" s="16">
        <v>46014</v>
      </c>
      <c r="K179" s="16">
        <v>45845</v>
      </c>
      <c r="L179" s="6" t="s">
        <v>57</v>
      </c>
      <c r="M179" s="1" t="s">
        <v>28</v>
      </c>
      <c r="N179" s="17">
        <f t="shared" ca="1" si="21"/>
        <v>0.2</v>
      </c>
      <c r="O179" s="18">
        <f t="shared" ca="1" si="22"/>
        <v>92.608000000000004</v>
      </c>
      <c r="P179" s="15">
        <f>(inventory_data!$D179-inventory_data!$E179)</f>
        <v>229</v>
      </c>
      <c r="Q179" s="36">
        <f t="shared" si="23"/>
        <v>7344.0300000000016</v>
      </c>
      <c r="R179" s="5">
        <f t="shared" ca="1" si="19"/>
        <v>47</v>
      </c>
      <c r="S179" s="5" t="str">
        <f t="shared" ca="1" si="20"/>
        <v>Far Expiry</v>
      </c>
    </row>
    <row r="180" spans="1:19" x14ac:dyDescent="0.3">
      <c r="A180" s="5" t="s">
        <v>258</v>
      </c>
      <c r="B180" s="5" t="s">
        <v>20</v>
      </c>
      <c r="C180" s="5" t="s">
        <v>21</v>
      </c>
      <c r="D180" s="5">
        <v>369</v>
      </c>
      <c r="E180" s="19">
        <v>169</v>
      </c>
      <c r="F180" s="19">
        <v>131.61000000000001</v>
      </c>
      <c r="G180" s="19">
        <v>193.4</v>
      </c>
      <c r="H180" s="19">
        <v>1.87</v>
      </c>
      <c r="I180" s="19">
        <v>193.24</v>
      </c>
      <c r="J180" s="20">
        <v>46363</v>
      </c>
      <c r="K180" s="20">
        <v>45795</v>
      </c>
      <c r="L180" s="5" t="s">
        <v>22</v>
      </c>
      <c r="M180" s="21" t="s">
        <v>28</v>
      </c>
      <c r="N180" s="22">
        <f t="shared" ca="1" si="21"/>
        <v>0.2</v>
      </c>
      <c r="O180" s="23">
        <f t="shared" ca="1" si="22"/>
        <v>154.72000000000003</v>
      </c>
      <c r="P180" s="19">
        <f>(inventory_data!$D180-inventory_data!$E180)</f>
        <v>200</v>
      </c>
      <c r="Q180" s="36">
        <f t="shared" si="23"/>
        <v>12357.999999999998</v>
      </c>
      <c r="R180" s="5">
        <f t="shared" ca="1" si="19"/>
        <v>396</v>
      </c>
      <c r="S180" s="5" t="str">
        <f t="shared" ca="1" si="20"/>
        <v>Far Expiry</v>
      </c>
    </row>
    <row r="181" spans="1:19" x14ac:dyDescent="0.3">
      <c r="A181" s="6" t="s">
        <v>259</v>
      </c>
      <c r="B181" s="6" t="s">
        <v>63</v>
      </c>
      <c r="C181" s="6" t="s">
        <v>134</v>
      </c>
      <c r="D181" s="6">
        <v>354</v>
      </c>
      <c r="E181" s="15">
        <v>132</v>
      </c>
      <c r="F181" s="15">
        <v>139.13</v>
      </c>
      <c r="G181" s="15">
        <v>197.06</v>
      </c>
      <c r="H181" s="15">
        <v>1.67</v>
      </c>
      <c r="I181" s="15">
        <v>196.61</v>
      </c>
      <c r="J181" s="16">
        <v>46415</v>
      </c>
      <c r="K181" s="16">
        <v>45776</v>
      </c>
      <c r="L181" s="6" t="s">
        <v>35</v>
      </c>
      <c r="M181" s="1" t="s">
        <v>28</v>
      </c>
      <c r="N181" s="17">
        <f t="shared" ca="1" si="21"/>
        <v>0.2</v>
      </c>
      <c r="O181" s="18">
        <f t="shared" ca="1" si="22"/>
        <v>157.64800000000002</v>
      </c>
      <c r="P181" s="15">
        <f>(inventory_data!$D181-inventory_data!$E181)</f>
        <v>222</v>
      </c>
      <c r="Q181" s="36">
        <f t="shared" si="23"/>
        <v>12860.460000000001</v>
      </c>
      <c r="R181" s="5">
        <f t="shared" ca="1" si="19"/>
        <v>448</v>
      </c>
      <c r="S181" s="5" t="str">
        <f t="shared" ca="1" si="20"/>
        <v>Far Expiry</v>
      </c>
    </row>
    <row r="182" spans="1:19" x14ac:dyDescent="0.3">
      <c r="A182" s="5" t="s">
        <v>260</v>
      </c>
      <c r="B182" s="5" t="s">
        <v>63</v>
      </c>
      <c r="C182" s="5" t="s">
        <v>134</v>
      </c>
      <c r="D182" s="5">
        <v>202</v>
      </c>
      <c r="E182" s="19">
        <v>130</v>
      </c>
      <c r="F182" s="19">
        <v>100.06</v>
      </c>
      <c r="G182" s="19">
        <v>126.04</v>
      </c>
      <c r="H182" s="19">
        <v>5.91</v>
      </c>
      <c r="I182" s="19">
        <v>120.81</v>
      </c>
      <c r="J182" s="20">
        <v>46355</v>
      </c>
      <c r="K182" s="20">
        <v>45801</v>
      </c>
      <c r="L182" s="5" t="s">
        <v>35</v>
      </c>
      <c r="M182" s="21" t="s">
        <v>28</v>
      </c>
      <c r="N182" s="22">
        <f t="shared" ca="1" si="21"/>
        <v>0.2</v>
      </c>
      <c r="O182" s="23">
        <f t="shared" ca="1" si="22"/>
        <v>100.83200000000001</v>
      </c>
      <c r="P182" s="19">
        <f>(inventory_data!$D182-inventory_data!$E182)</f>
        <v>72</v>
      </c>
      <c r="Q182" s="36">
        <f t="shared" si="23"/>
        <v>1870.5600000000004</v>
      </c>
      <c r="R182" s="5">
        <f t="shared" ca="1" si="19"/>
        <v>388</v>
      </c>
      <c r="S182" s="5" t="str">
        <f t="shared" ca="1" si="20"/>
        <v>Far Expiry</v>
      </c>
    </row>
    <row r="183" spans="1:19" x14ac:dyDescent="0.3">
      <c r="A183" s="6" t="s">
        <v>261</v>
      </c>
      <c r="B183" s="6" t="s">
        <v>43</v>
      </c>
      <c r="C183" s="6" t="s">
        <v>149</v>
      </c>
      <c r="D183" s="6">
        <v>367</v>
      </c>
      <c r="E183" s="15">
        <v>40</v>
      </c>
      <c r="F183" s="15">
        <v>147.97</v>
      </c>
      <c r="G183" s="15">
        <v>200.58</v>
      </c>
      <c r="H183" s="15">
        <v>4.79</v>
      </c>
      <c r="I183" s="15">
        <v>196.19</v>
      </c>
      <c r="J183" s="16">
        <v>45932</v>
      </c>
      <c r="K183" s="16">
        <v>45837</v>
      </c>
      <c r="L183" s="6" t="s">
        <v>40</v>
      </c>
      <c r="M183" s="1" t="s">
        <v>36</v>
      </c>
      <c r="N183" s="17">
        <f t="shared" ca="1" si="21"/>
        <v>0.4</v>
      </c>
      <c r="O183" s="18">
        <f t="shared" ca="1" si="22"/>
        <v>120.348</v>
      </c>
      <c r="P183" s="15">
        <f>(inventory_data!$D183-inventory_data!$E183)</f>
        <v>327</v>
      </c>
      <c r="Q183" s="36">
        <f t="shared" si="23"/>
        <v>17203.470000000005</v>
      </c>
      <c r="R183" s="5">
        <f t="shared" ca="1" si="19"/>
        <v>-35</v>
      </c>
      <c r="S183" s="5" t="str">
        <f t="shared" ca="1" si="20"/>
        <v>Near Expiry</v>
      </c>
    </row>
    <row r="184" spans="1:19" x14ac:dyDescent="0.3">
      <c r="A184" s="5" t="s">
        <v>262</v>
      </c>
      <c r="B184" s="5" t="s">
        <v>38</v>
      </c>
      <c r="C184" s="5" t="s">
        <v>39</v>
      </c>
      <c r="D184" s="5">
        <v>412</v>
      </c>
      <c r="E184" s="19">
        <v>73</v>
      </c>
      <c r="F184" s="19">
        <v>127.17</v>
      </c>
      <c r="G184" s="19">
        <v>187.96</v>
      </c>
      <c r="H184" s="19">
        <v>2.4300000000000002</v>
      </c>
      <c r="I184" s="19">
        <v>187.2</v>
      </c>
      <c r="J184" s="20">
        <v>46322</v>
      </c>
      <c r="K184" s="20">
        <v>45749</v>
      </c>
      <c r="L184" s="5" t="s">
        <v>40</v>
      </c>
      <c r="M184" s="21" t="s">
        <v>36</v>
      </c>
      <c r="N184" s="22">
        <f t="shared" ca="1" si="21"/>
        <v>0.05</v>
      </c>
      <c r="O184" s="23">
        <f t="shared" ca="1" si="22"/>
        <v>178.56200000000001</v>
      </c>
      <c r="P184" s="19">
        <f>(inventory_data!$D184-inventory_data!$E184)</f>
        <v>339</v>
      </c>
      <c r="Q184" s="36">
        <f t="shared" si="23"/>
        <v>20607.810000000001</v>
      </c>
      <c r="R184" s="5">
        <f t="shared" ca="1" si="19"/>
        <v>355</v>
      </c>
      <c r="S184" s="5" t="str">
        <f t="shared" ca="1" si="20"/>
        <v>Far Expiry</v>
      </c>
    </row>
    <row r="185" spans="1:19" x14ac:dyDescent="0.3">
      <c r="A185" s="6" t="s">
        <v>263</v>
      </c>
      <c r="B185" s="6" t="s">
        <v>20</v>
      </c>
      <c r="C185" s="6" t="s">
        <v>106</v>
      </c>
      <c r="D185" s="6">
        <v>399</v>
      </c>
      <c r="E185" s="15">
        <v>302</v>
      </c>
      <c r="F185" s="15">
        <v>134.11000000000001</v>
      </c>
      <c r="G185" s="15">
        <v>180.59</v>
      </c>
      <c r="H185" s="15">
        <v>3.49</v>
      </c>
      <c r="I185" s="15">
        <v>178.14</v>
      </c>
      <c r="J185" s="16">
        <v>45944</v>
      </c>
      <c r="K185" s="16">
        <v>45831</v>
      </c>
      <c r="L185" s="6" t="s">
        <v>68</v>
      </c>
      <c r="M185" s="1" t="s">
        <v>28</v>
      </c>
      <c r="N185" s="17">
        <f t="shared" ca="1" si="21"/>
        <v>0.4</v>
      </c>
      <c r="O185" s="18">
        <f t="shared" ca="1" si="22"/>
        <v>108.354</v>
      </c>
      <c r="P185" s="15">
        <f>(inventory_data!$D185-inventory_data!$E185)</f>
        <v>97</v>
      </c>
      <c r="Q185" s="36">
        <f t="shared" si="23"/>
        <v>4508.5599999999986</v>
      </c>
      <c r="R185" s="5">
        <f t="shared" ca="1" si="19"/>
        <v>-23</v>
      </c>
      <c r="S185" s="5" t="str">
        <f t="shared" ca="1" si="20"/>
        <v>Near Expiry</v>
      </c>
    </row>
    <row r="186" spans="1:19" x14ac:dyDescent="0.3">
      <c r="A186" s="5" t="s">
        <v>264</v>
      </c>
      <c r="B186" s="5" t="s">
        <v>38</v>
      </c>
      <c r="C186" s="5" t="s">
        <v>199</v>
      </c>
      <c r="D186" s="5">
        <v>453</v>
      </c>
      <c r="E186" s="19">
        <v>195</v>
      </c>
      <c r="F186" s="19">
        <v>61.22</v>
      </c>
      <c r="G186" s="19">
        <v>88.97</v>
      </c>
      <c r="H186" s="19">
        <v>9.36</v>
      </c>
      <c r="I186" s="19">
        <v>80.48</v>
      </c>
      <c r="J186" s="20">
        <v>46655</v>
      </c>
      <c r="K186" s="20">
        <v>45771</v>
      </c>
      <c r="L186" s="5" t="s">
        <v>40</v>
      </c>
      <c r="M186" s="21" t="s">
        <v>28</v>
      </c>
      <c r="N186" s="22">
        <f t="shared" ca="1" si="21"/>
        <v>0.2</v>
      </c>
      <c r="O186" s="23">
        <f t="shared" ca="1" si="22"/>
        <v>71.176000000000002</v>
      </c>
      <c r="P186" s="19">
        <f>(inventory_data!$D186-inventory_data!$E186)</f>
        <v>258</v>
      </c>
      <c r="Q186" s="36">
        <f t="shared" si="23"/>
        <v>7159.5</v>
      </c>
      <c r="R186" s="5">
        <f t="shared" ca="1" si="19"/>
        <v>688</v>
      </c>
      <c r="S186" s="5" t="str">
        <f t="shared" ca="1" si="20"/>
        <v>Far Expiry</v>
      </c>
    </row>
    <row r="187" spans="1:19" x14ac:dyDescent="0.3">
      <c r="A187" s="6" t="s">
        <v>265</v>
      </c>
      <c r="B187" s="6" t="s">
        <v>43</v>
      </c>
      <c r="C187" s="2" t="s">
        <v>266</v>
      </c>
      <c r="D187" s="6">
        <v>351</v>
      </c>
      <c r="E187" s="15">
        <v>216</v>
      </c>
      <c r="F187" s="15">
        <v>174.8</v>
      </c>
      <c r="G187" s="15">
        <v>226.73</v>
      </c>
      <c r="H187" s="15">
        <v>6.67</v>
      </c>
      <c r="I187" s="15">
        <v>222.06</v>
      </c>
      <c r="J187" s="16">
        <v>45900</v>
      </c>
      <c r="K187" s="16">
        <v>45822</v>
      </c>
      <c r="L187" s="6" t="s">
        <v>45</v>
      </c>
      <c r="M187" s="1" t="s">
        <v>28</v>
      </c>
      <c r="N187" s="17">
        <f t="shared" ca="1" si="21"/>
        <v>0.4</v>
      </c>
      <c r="O187" s="18">
        <f t="shared" ca="1" si="22"/>
        <v>136.03799999999998</v>
      </c>
      <c r="P187" s="15">
        <f>(inventory_data!$D187-inventory_data!$E187)</f>
        <v>135</v>
      </c>
      <c r="Q187" s="36">
        <f t="shared" si="23"/>
        <v>7010.5499999999975</v>
      </c>
      <c r="R187" s="5">
        <f t="shared" ca="1" si="19"/>
        <v>-67</v>
      </c>
      <c r="S187" s="5" t="str">
        <f t="shared" ca="1" si="20"/>
        <v>Near Expiry</v>
      </c>
    </row>
    <row r="188" spans="1:19" x14ac:dyDescent="0.3">
      <c r="A188" s="5" t="s">
        <v>267</v>
      </c>
      <c r="B188" s="5" t="s">
        <v>20</v>
      </c>
      <c r="C188" s="5" t="s">
        <v>106</v>
      </c>
      <c r="D188" s="5">
        <v>249</v>
      </c>
      <c r="E188" s="19">
        <v>48</v>
      </c>
      <c r="F188" s="19">
        <v>99.15</v>
      </c>
      <c r="G188" s="19">
        <v>126.79</v>
      </c>
      <c r="H188" s="19">
        <v>3.18</v>
      </c>
      <c r="I188" s="19">
        <v>123.92</v>
      </c>
      <c r="J188" s="20">
        <v>46178</v>
      </c>
      <c r="K188" s="20">
        <v>45755</v>
      </c>
      <c r="L188" s="5" t="s">
        <v>68</v>
      </c>
      <c r="M188" s="21" t="s">
        <v>36</v>
      </c>
      <c r="N188" s="22">
        <f t="shared" ca="1" si="21"/>
        <v>0.05</v>
      </c>
      <c r="O188" s="23">
        <f t="shared" ca="1" si="22"/>
        <v>120.45050000000001</v>
      </c>
      <c r="P188" s="19">
        <f>(inventory_data!$D188-inventory_data!$E188)</f>
        <v>201</v>
      </c>
      <c r="Q188" s="36">
        <f t="shared" si="23"/>
        <v>5555.64</v>
      </c>
      <c r="R188" s="5">
        <f t="shared" ca="1" si="19"/>
        <v>211</v>
      </c>
      <c r="S188" s="5" t="str">
        <f t="shared" ca="1" si="20"/>
        <v>Far Expiry</v>
      </c>
    </row>
    <row r="189" spans="1:19" x14ac:dyDescent="0.3">
      <c r="A189" s="6" t="s">
        <v>268</v>
      </c>
      <c r="B189" s="6" t="s">
        <v>63</v>
      </c>
      <c r="C189" s="6" t="s">
        <v>134</v>
      </c>
      <c r="D189" s="6">
        <v>150</v>
      </c>
      <c r="E189" s="15">
        <v>148</v>
      </c>
      <c r="F189" s="15">
        <v>165.36</v>
      </c>
      <c r="G189" s="15">
        <v>222.31</v>
      </c>
      <c r="H189" s="15">
        <v>7.91</v>
      </c>
      <c r="I189" s="15">
        <v>219.93</v>
      </c>
      <c r="J189" s="16">
        <v>46534</v>
      </c>
      <c r="K189" s="16">
        <v>45794</v>
      </c>
      <c r="L189" s="6" t="s">
        <v>35</v>
      </c>
      <c r="M189" s="1" t="s">
        <v>28</v>
      </c>
      <c r="N189" s="17">
        <f t="shared" ca="1" si="21"/>
        <v>0.2</v>
      </c>
      <c r="O189" s="18">
        <f t="shared" ca="1" si="22"/>
        <v>177.84800000000001</v>
      </c>
      <c r="P189" s="15">
        <f>(inventory_data!$D189-inventory_data!$E189)</f>
        <v>2</v>
      </c>
      <c r="Q189" s="36">
        <f t="shared" si="23"/>
        <v>113.89999999999998</v>
      </c>
      <c r="R189" s="5">
        <f t="shared" ca="1" si="19"/>
        <v>567</v>
      </c>
      <c r="S189" s="5" t="str">
        <f t="shared" ca="1" si="20"/>
        <v>Far Expiry</v>
      </c>
    </row>
    <row r="190" spans="1:19" x14ac:dyDescent="0.3">
      <c r="A190" s="5" t="s">
        <v>269</v>
      </c>
      <c r="B190" s="5" t="s">
        <v>20</v>
      </c>
      <c r="C190" s="5" t="s">
        <v>106</v>
      </c>
      <c r="D190" s="5">
        <v>301</v>
      </c>
      <c r="E190" s="19">
        <v>61</v>
      </c>
      <c r="F190" s="19">
        <v>27.71</v>
      </c>
      <c r="G190" s="19">
        <v>41.4</v>
      </c>
      <c r="H190" s="19">
        <v>3.39</v>
      </c>
      <c r="I190" s="19">
        <v>39.200000000000003</v>
      </c>
      <c r="J190" s="20">
        <v>45983</v>
      </c>
      <c r="K190" s="20">
        <v>45786</v>
      </c>
      <c r="L190" s="5" t="s">
        <v>68</v>
      </c>
      <c r="M190" s="21" t="s">
        <v>36</v>
      </c>
      <c r="N190" s="22">
        <f t="shared" ca="1" si="21"/>
        <v>0.4</v>
      </c>
      <c r="O190" s="23">
        <f t="shared" ca="1" si="22"/>
        <v>24.84</v>
      </c>
      <c r="P190" s="19">
        <f>(inventory_data!$D190-inventory_data!$E190)</f>
        <v>240</v>
      </c>
      <c r="Q190" s="36">
        <f t="shared" si="23"/>
        <v>3285.5999999999995</v>
      </c>
      <c r="R190" s="5">
        <f t="shared" ca="1" si="19"/>
        <v>16</v>
      </c>
      <c r="S190" s="5" t="str">
        <f t="shared" ca="1" si="20"/>
        <v>Near Expiry</v>
      </c>
    </row>
    <row r="191" spans="1:19" x14ac:dyDescent="0.3">
      <c r="A191" s="6" t="s">
        <v>270</v>
      </c>
      <c r="B191" s="6" t="s">
        <v>25</v>
      </c>
      <c r="C191" s="6" t="s">
        <v>26</v>
      </c>
      <c r="D191" s="6">
        <v>400</v>
      </c>
      <c r="E191" s="15">
        <v>219</v>
      </c>
      <c r="F191" s="15">
        <v>64.430000000000007</v>
      </c>
      <c r="G191" s="15">
        <v>95.04</v>
      </c>
      <c r="H191" s="15">
        <v>8.69</v>
      </c>
      <c r="I191" s="15">
        <v>89.6</v>
      </c>
      <c r="J191" s="16">
        <v>45876</v>
      </c>
      <c r="K191" s="16">
        <v>45832</v>
      </c>
      <c r="L191" s="6" t="s">
        <v>27</v>
      </c>
      <c r="M191" s="1" t="s">
        <v>28</v>
      </c>
      <c r="N191" s="17">
        <f t="shared" ca="1" si="21"/>
        <v>0.4</v>
      </c>
      <c r="O191" s="18">
        <f t="shared" ca="1" si="22"/>
        <v>57.024000000000001</v>
      </c>
      <c r="P191" s="15">
        <f>(inventory_data!$D191-inventory_data!$E191)</f>
        <v>181</v>
      </c>
      <c r="Q191" s="36">
        <f t="shared" si="23"/>
        <v>5540.41</v>
      </c>
      <c r="R191" s="5">
        <f t="shared" ca="1" si="19"/>
        <v>-91</v>
      </c>
      <c r="S191" s="5" t="str">
        <f t="shared" ca="1" si="20"/>
        <v>Near Expiry</v>
      </c>
    </row>
    <row r="192" spans="1:19" x14ac:dyDescent="0.3">
      <c r="A192" s="5" t="s">
        <v>271</v>
      </c>
      <c r="B192" s="5" t="s">
        <v>43</v>
      </c>
      <c r="C192" s="5" t="s">
        <v>149</v>
      </c>
      <c r="D192" s="5">
        <v>331</v>
      </c>
      <c r="E192" s="19">
        <v>180</v>
      </c>
      <c r="F192" s="19">
        <v>146.22999999999999</v>
      </c>
      <c r="G192" s="19">
        <v>189</v>
      </c>
      <c r="H192" s="19">
        <v>8.24</v>
      </c>
      <c r="I192" s="19">
        <v>186.18</v>
      </c>
      <c r="J192" s="20">
        <v>45900</v>
      </c>
      <c r="K192" s="20">
        <v>45768</v>
      </c>
      <c r="L192" s="5" t="s">
        <v>40</v>
      </c>
      <c r="M192" s="21" t="s">
        <v>28</v>
      </c>
      <c r="N192" s="22">
        <f t="shared" ca="1" si="21"/>
        <v>0.4</v>
      </c>
      <c r="O192" s="23">
        <f t="shared" ca="1" si="22"/>
        <v>113.39999999999999</v>
      </c>
      <c r="P192" s="19">
        <f>(inventory_data!$D192-inventory_data!$E192)</f>
        <v>151</v>
      </c>
      <c r="Q192" s="36">
        <f t="shared" si="23"/>
        <v>6458.2700000000013</v>
      </c>
      <c r="R192" s="5">
        <f t="shared" ca="1" si="19"/>
        <v>-67</v>
      </c>
      <c r="S192" s="5" t="str">
        <f t="shared" ca="1" si="20"/>
        <v>Near Expiry</v>
      </c>
    </row>
    <row r="193" spans="1:19" x14ac:dyDescent="0.3">
      <c r="A193" s="6" t="s">
        <v>272</v>
      </c>
      <c r="B193" s="6" t="s">
        <v>49</v>
      </c>
      <c r="C193" s="6" t="s">
        <v>203</v>
      </c>
      <c r="D193" s="6">
        <v>231</v>
      </c>
      <c r="E193" s="15">
        <v>208</v>
      </c>
      <c r="F193" s="15">
        <v>179.56</v>
      </c>
      <c r="G193" s="15">
        <v>233.04</v>
      </c>
      <c r="H193" s="15">
        <v>8.6199999999999992</v>
      </c>
      <c r="I193" s="15">
        <v>224.65</v>
      </c>
      <c r="J193" s="16">
        <v>46278</v>
      </c>
      <c r="K193" s="16">
        <v>45849</v>
      </c>
      <c r="L193" s="6" t="s">
        <v>51</v>
      </c>
      <c r="M193" s="1" t="s">
        <v>28</v>
      </c>
      <c r="N193" s="17">
        <f t="shared" ca="1" si="21"/>
        <v>0.4</v>
      </c>
      <c r="O193" s="18">
        <f t="shared" ca="1" si="22"/>
        <v>139.82399999999998</v>
      </c>
      <c r="P193" s="15">
        <f>(inventory_data!$D193-inventory_data!$E193)</f>
        <v>23</v>
      </c>
      <c r="Q193" s="36">
        <f t="shared" si="23"/>
        <v>1230.0399999999997</v>
      </c>
      <c r="R193" s="5">
        <f t="shared" ca="1" si="19"/>
        <v>311</v>
      </c>
      <c r="S193" s="5" t="str">
        <f t="shared" ca="1" si="20"/>
        <v>Far Expiry</v>
      </c>
    </row>
    <row r="194" spans="1:19" x14ac:dyDescent="0.3">
      <c r="A194" s="5" t="s">
        <v>273</v>
      </c>
      <c r="B194" s="5" t="s">
        <v>49</v>
      </c>
      <c r="C194" s="5" t="s">
        <v>50</v>
      </c>
      <c r="D194" s="5">
        <v>226</v>
      </c>
      <c r="E194" s="19">
        <v>170</v>
      </c>
      <c r="F194" s="19">
        <v>42.55</v>
      </c>
      <c r="G194" s="19">
        <v>52.9</v>
      </c>
      <c r="H194" s="19">
        <v>6.8</v>
      </c>
      <c r="I194" s="19">
        <v>49.85</v>
      </c>
      <c r="J194" s="20">
        <v>46681</v>
      </c>
      <c r="K194" s="20">
        <v>45752</v>
      </c>
      <c r="L194" s="5" t="s">
        <v>51</v>
      </c>
      <c r="M194" s="21" t="s">
        <v>28</v>
      </c>
      <c r="N194" s="22">
        <f t="shared" ref="N194:N200" ca="1" si="24">IF(OR(E194&gt;200,J194&lt;=TODAY()+30),0.4,
   IF(OR(AND(E194&gt;=100,E194&lt;=200),J194&lt;=TODAY()+90),0.2,0.05))</f>
        <v>0.2</v>
      </c>
      <c r="O194" s="23">
        <f t="shared" ref="O194:O200" ca="1" si="25">G194*(1-N194)</f>
        <v>42.32</v>
      </c>
      <c r="P194" s="19">
        <f>(inventory_data!$D194-inventory_data!$E194)</f>
        <v>56</v>
      </c>
      <c r="Q194" s="36">
        <f t="shared" ref="Q194:Q200" si="26">(G194-F194)*P194</f>
        <v>579.60000000000014</v>
      </c>
      <c r="R194" s="5">
        <f t="shared" ca="1" si="19"/>
        <v>714</v>
      </c>
      <c r="S194" s="5" t="str">
        <f t="shared" ca="1" si="20"/>
        <v>Far Expiry</v>
      </c>
    </row>
    <row r="195" spans="1:19" x14ac:dyDescent="0.3">
      <c r="A195" s="6" t="s">
        <v>274</v>
      </c>
      <c r="B195" s="6" t="s">
        <v>38</v>
      </c>
      <c r="C195" s="6" t="s">
        <v>39</v>
      </c>
      <c r="D195" s="6">
        <v>344</v>
      </c>
      <c r="E195" s="15">
        <v>180</v>
      </c>
      <c r="F195" s="15">
        <v>34.07</v>
      </c>
      <c r="G195" s="15">
        <v>42.04</v>
      </c>
      <c r="H195" s="15">
        <v>3.26</v>
      </c>
      <c r="I195" s="15">
        <v>41.06</v>
      </c>
      <c r="J195" s="16">
        <v>46029</v>
      </c>
      <c r="K195" s="16">
        <v>45845</v>
      </c>
      <c r="L195" s="6" t="s">
        <v>40</v>
      </c>
      <c r="M195" s="1" t="s">
        <v>28</v>
      </c>
      <c r="N195" s="17">
        <f t="shared" ca="1" si="24"/>
        <v>0.2</v>
      </c>
      <c r="O195" s="18">
        <f t="shared" ca="1" si="25"/>
        <v>33.631999999999998</v>
      </c>
      <c r="P195" s="15">
        <f>(inventory_data!$D195-inventory_data!$E195)</f>
        <v>164</v>
      </c>
      <c r="Q195" s="36">
        <f t="shared" si="26"/>
        <v>1307.08</v>
      </c>
      <c r="R195" s="5">
        <f t="shared" ref="R195:R200" ca="1" si="27">J195-TODAY()</f>
        <v>62</v>
      </c>
      <c r="S195" s="5" t="str">
        <f t="shared" ref="S195:S200" ca="1" si="28">IF(R195&lt;=40,"Near Expiry",IF(R195&gt;41,"Far Expiry"))</f>
        <v>Far Expiry</v>
      </c>
    </row>
    <row r="196" spans="1:19" x14ac:dyDescent="0.3">
      <c r="A196" s="5" t="s">
        <v>275</v>
      </c>
      <c r="B196" s="5" t="s">
        <v>63</v>
      </c>
      <c r="C196" s="5" t="s">
        <v>134</v>
      </c>
      <c r="D196" s="5">
        <v>52</v>
      </c>
      <c r="E196" s="19">
        <v>13</v>
      </c>
      <c r="F196" s="19">
        <v>170.32</v>
      </c>
      <c r="G196" s="19">
        <v>241.28</v>
      </c>
      <c r="H196" s="19">
        <v>7.19</v>
      </c>
      <c r="I196" s="19">
        <v>238.42</v>
      </c>
      <c r="J196" s="20">
        <v>46169</v>
      </c>
      <c r="K196" s="20">
        <v>45852</v>
      </c>
      <c r="L196" s="5" t="s">
        <v>35</v>
      </c>
      <c r="M196" s="21" t="s">
        <v>36</v>
      </c>
      <c r="N196" s="22">
        <f t="shared" ca="1" si="24"/>
        <v>0.05</v>
      </c>
      <c r="O196" s="23">
        <f t="shared" ca="1" si="25"/>
        <v>229.21599999999998</v>
      </c>
      <c r="P196" s="19">
        <f>(inventory_data!$D196-inventory_data!$E196)</f>
        <v>39</v>
      </c>
      <c r="Q196" s="36">
        <f t="shared" si="26"/>
        <v>2767.4400000000005</v>
      </c>
      <c r="R196" s="5">
        <f t="shared" ca="1" si="27"/>
        <v>202</v>
      </c>
      <c r="S196" s="5" t="str">
        <f t="shared" ca="1" si="28"/>
        <v>Far Expiry</v>
      </c>
    </row>
    <row r="197" spans="1:19" x14ac:dyDescent="0.3">
      <c r="A197" s="6" t="s">
        <v>276</v>
      </c>
      <c r="B197" s="6" t="s">
        <v>43</v>
      </c>
      <c r="C197" s="2" t="s">
        <v>159</v>
      </c>
      <c r="D197" s="6">
        <v>308</v>
      </c>
      <c r="E197" s="15">
        <v>87</v>
      </c>
      <c r="F197" s="15">
        <v>61.63</v>
      </c>
      <c r="G197" s="15">
        <v>92.09</v>
      </c>
      <c r="H197" s="15">
        <v>5.28</v>
      </c>
      <c r="I197" s="15">
        <v>87.2</v>
      </c>
      <c r="J197" s="16">
        <v>45900</v>
      </c>
      <c r="K197" s="16">
        <v>45842</v>
      </c>
      <c r="L197" s="6" t="s">
        <v>45</v>
      </c>
      <c r="M197" s="1" t="s">
        <v>28</v>
      </c>
      <c r="N197" s="17">
        <f t="shared" ca="1" si="24"/>
        <v>0.4</v>
      </c>
      <c r="O197" s="18">
        <f t="shared" ca="1" si="25"/>
        <v>55.253999999999998</v>
      </c>
      <c r="P197" s="15">
        <f>(inventory_data!$D197-inventory_data!$E197)</f>
        <v>221</v>
      </c>
      <c r="Q197" s="36">
        <f t="shared" si="26"/>
        <v>6731.66</v>
      </c>
      <c r="R197" s="5">
        <f t="shared" ca="1" si="27"/>
        <v>-67</v>
      </c>
      <c r="S197" s="5" t="str">
        <f t="shared" ca="1" si="28"/>
        <v>Near Expiry</v>
      </c>
    </row>
    <row r="198" spans="1:19" x14ac:dyDescent="0.3">
      <c r="A198" s="5" t="s">
        <v>277</v>
      </c>
      <c r="B198" s="5" t="s">
        <v>30</v>
      </c>
      <c r="C198" s="5" t="s">
        <v>278</v>
      </c>
      <c r="D198" s="5">
        <v>71</v>
      </c>
      <c r="E198" s="19">
        <v>39</v>
      </c>
      <c r="F198" s="19">
        <v>49.17</v>
      </c>
      <c r="G198" s="19">
        <v>72.87</v>
      </c>
      <c r="H198" s="19">
        <v>5.27</v>
      </c>
      <c r="I198" s="19">
        <v>71.19</v>
      </c>
      <c r="J198" s="20">
        <v>45999</v>
      </c>
      <c r="K198" s="20">
        <v>45844</v>
      </c>
      <c r="L198" s="5" t="s">
        <v>32</v>
      </c>
      <c r="M198" s="21" t="s">
        <v>36</v>
      </c>
      <c r="N198" s="22">
        <f t="shared" ca="1" si="24"/>
        <v>0.2</v>
      </c>
      <c r="O198" s="23">
        <f t="shared" ca="1" si="25"/>
        <v>58.296000000000006</v>
      </c>
      <c r="P198" s="19">
        <f>(inventory_data!$D198-inventory_data!$E198)</f>
        <v>32</v>
      </c>
      <c r="Q198" s="36">
        <f t="shared" si="26"/>
        <v>758.40000000000009</v>
      </c>
      <c r="R198" s="5">
        <f t="shared" ca="1" si="27"/>
        <v>32</v>
      </c>
      <c r="S198" s="5" t="str">
        <f t="shared" ca="1" si="28"/>
        <v>Near Expiry</v>
      </c>
    </row>
    <row r="199" spans="1:19" x14ac:dyDescent="0.3">
      <c r="A199" s="6" t="s">
        <v>279</v>
      </c>
      <c r="B199" s="6" t="s">
        <v>30</v>
      </c>
      <c r="C199" s="6" t="s">
        <v>280</v>
      </c>
      <c r="D199" s="6">
        <v>500</v>
      </c>
      <c r="E199" s="15">
        <v>196</v>
      </c>
      <c r="F199" s="15">
        <v>199.25</v>
      </c>
      <c r="G199" s="15">
        <v>266.63</v>
      </c>
      <c r="H199" s="15">
        <v>4.6399999999999997</v>
      </c>
      <c r="I199" s="15">
        <v>266.57</v>
      </c>
      <c r="J199" s="16">
        <v>46399</v>
      </c>
      <c r="K199" s="16">
        <v>45752</v>
      </c>
      <c r="L199" s="6" t="s">
        <v>32</v>
      </c>
      <c r="M199" s="1" t="s">
        <v>28</v>
      </c>
      <c r="N199" s="17">
        <f t="shared" ca="1" si="24"/>
        <v>0.2</v>
      </c>
      <c r="O199" s="18">
        <f t="shared" ca="1" si="25"/>
        <v>213.304</v>
      </c>
      <c r="P199" s="15">
        <f>(inventory_data!$D199-inventory_data!$E199)</f>
        <v>304</v>
      </c>
      <c r="Q199" s="36">
        <f t="shared" si="26"/>
        <v>20483.519999999997</v>
      </c>
      <c r="R199" s="5">
        <f t="shared" ca="1" si="27"/>
        <v>432</v>
      </c>
      <c r="S199" s="5" t="str">
        <f t="shared" ca="1" si="28"/>
        <v>Far Expiry</v>
      </c>
    </row>
    <row r="200" spans="1:19" x14ac:dyDescent="0.3">
      <c r="A200" s="7" t="s">
        <v>281</v>
      </c>
      <c r="B200" s="7" t="s">
        <v>43</v>
      </c>
      <c r="C200" s="48" t="s">
        <v>282</v>
      </c>
      <c r="D200" s="7">
        <v>121</v>
      </c>
      <c r="E200" s="26">
        <v>10</v>
      </c>
      <c r="F200" s="26">
        <v>148.75</v>
      </c>
      <c r="G200" s="26">
        <v>217.5</v>
      </c>
      <c r="H200" s="26">
        <v>2.85</v>
      </c>
      <c r="I200" s="26">
        <v>215.52</v>
      </c>
      <c r="J200" s="27">
        <v>45930</v>
      </c>
      <c r="K200" s="27">
        <v>45812</v>
      </c>
      <c r="L200" s="7" t="s">
        <v>45</v>
      </c>
      <c r="M200" s="28" t="s">
        <v>36</v>
      </c>
      <c r="N200" s="29">
        <f t="shared" ca="1" si="24"/>
        <v>0.4</v>
      </c>
      <c r="O200" s="30">
        <f t="shared" ca="1" si="25"/>
        <v>130.5</v>
      </c>
      <c r="P200" s="26">
        <f>(inventory_data!$D200-inventory_data!$E200)</f>
        <v>111</v>
      </c>
      <c r="Q200" s="36">
        <f t="shared" si="26"/>
        <v>7631.25</v>
      </c>
      <c r="R200" s="5">
        <f t="shared" ca="1" si="27"/>
        <v>-37</v>
      </c>
      <c r="S200" s="5" t="str">
        <f t="shared" ca="1" si="28"/>
        <v>Near Expiry</v>
      </c>
    </row>
    <row r="201" spans="1:19" x14ac:dyDescent="0.3">
      <c r="D201"/>
      <c r="E201" s="3"/>
      <c r="M201" s="1"/>
    </row>
    <row r="202" spans="1:19" x14ac:dyDescent="0.3">
      <c r="L202" s="1"/>
    </row>
    <row r="203" spans="1:19" x14ac:dyDescent="0.3">
      <c r="L203" s="1"/>
    </row>
    <row r="204" spans="1:19" x14ac:dyDescent="0.3">
      <c r="L204" s="1"/>
    </row>
    <row r="205" spans="1:19" x14ac:dyDescent="0.3">
      <c r="L205" s="1"/>
    </row>
    <row r="206" spans="1:19" x14ac:dyDescent="0.3">
      <c r="L206" s="1"/>
    </row>
    <row r="207" spans="1:19" x14ac:dyDescent="0.3">
      <c r="L207" s="1"/>
    </row>
    <row r="208" spans="1:19" x14ac:dyDescent="0.3">
      <c r="L208" s="1"/>
    </row>
    <row r="209" spans="12:12" x14ac:dyDescent="0.3">
      <c r="L209" s="1"/>
    </row>
    <row r="210" spans="12:12" x14ac:dyDescent="0.3">
      <c r="L210" s="1"/>
    </row>
    <row r="211" spans="12:12" x14ac:dyDescent="0.3">
      <c r="L211" s="1"/>
    </row>
    <row r="212" spans="12:12" x14ac:dyDescent="0.3">
      <c r="L212" s="1"/>
    </row>
    <row r="213" spans="12:12" x14ac:dyDescent="0.3">
      <c r="L213" s="1"/>
    </row>
    <row r="214" spans="12:12" x14ac:dyDescent="0.3">
      <c r="L214" s="1"/>
    </row>
    <row r="215" spans="12:12" x14ac:dyDescent="0.3">
      <c r="L215" s="1"/>
    </row>
    <row r="216" spans="12:12" x14ac:dyDescent="0.3">
      <c r="L216" s="1"/>
    </row>
    <row r="217" spans="12:12" x14ac:dyDescent="0.3">
      <c r="L217" s="1"/>
    </row>
    <row r="218" spans="12:12" x14ac:dyDescent="0.3">
      <c r="L218" s="1"/>
    </row>
  </sheetData>
  <hyperlinks>
    <hyperlink ref="M5" r:id="rId1" xr:uid="{27F1C19A-ADDA-4C06-AE24-B7791F18C235}"/>
    <hyperlink ref="M3" r:id="rId2" xr:uid="{034BC1FE-0271-4C73-A5F3-1FE9A3B9F90B}"/>
    <hyperlink ref="M4" r:id="rId3" xr:uid="{875A20F5-1EF2-45D6-8435-C08C503FF95F}"/>
    <hyperlink ref="M6" r:id="rId4" xr:uid="{5405B1A7-C610-4EE3-8405-07ACB3AA6C51}"/>
    <hyperlink ref="M9:M12" r:id="rId5" display="23p31a4442@acet.ac.in" xr:uid="{6DB0462C-9381-4C8E-BEC0-CDC1DAF9266B}"/>
    <hyperlink ref="M16" r:id="rId6" xr:uid="{391F3C00-C317-4580-BB6D-D610DDA86F86}"/>
    <hyperlink ref="M20" r:id="rId7" xr:uid="{80687485-A909-46AC-BC49-819F4FC06C51}"/>
    <hyperlink ref="M22:M37" r:id="rId8" display="23p31a4442@acet.ac.in" xr:uid="{AC66FCD8-2BB9-4262-8ADB-9B13635BDBD9}"/>
    <hyperlink ref="M39" r:id="rId9" xr:uid="{D7E900DC-5B65-4ABC-ACFC-B0221484FCA5}"/>
    <hyperlink ref="M42" r:id="rId10" xr:uid="{233AD412-B415-4F98-A889-F205FF24308D}"/>
    <hyperlink ref="M44:M45" r:id="rId11" display="23p31a4442@acet.ac.in" xr:uid="{9A07A53A-531F-40EB-8FCB-BF486F818759}"/>
    <hyperlink ref="M47:M49" r:id="rId12" display="23p31a4442@acet.ac.in" xr:uid="{29C25F28-7048-4BA0-B05E-01AAAFCF47DE}"/>
    <hyperlink ref="M51:M52" r:id="rId13" display="23p31a4442@acet.ac.in" xr:uid="{3E43CFC6-CA56-4A09-A994-D0FA7BB7A523}"/>
    <hyperlink ref="M55" r:id="rId14" xr:uid="{411F18F3-1B38-4920-90CF-FCA1ABAD0F37}"/>
    <hyperlink ref="M57:M59" r:id="rId15" display="23p31a4442@acet.ac.in" xr:uid="{CACA814C-A2BB-434E-AB46-DF4A60E78942}"/>
    <hyperlink ref="M61:M62" r:id="rId16" display="23p31a4442@acet.ac.in" xr:uid="{7192C291-25BD-4EC6-8C6B-9B6091D2CBD1}"/>
    <hyperlink ref="M64:M68" r:id="rId17" display="23p31a4442@acet.ac.in" xr:uid="{F4D59525-487B-4110-9A13-5984D657B12D}"/>
    <hyperlink ref="M72:M75" r:id="rId18" display="23p31a4442@acet.ac.in" xr:uid="{E2FB67B1-E363-4623-9F50-990879B6E84F}"/>
    <hyperlink ref="M77" r:id="rId19" xr:uid="{C935ACF4-68E5-483F-B0FB-E232BFC5A586}"/>
    <hyperlink ref="M79:M80" r:id="rId20" display="23p31a4442@acet.ac.in" xr:uid="{C76F0F1A-5DE3-4213-9140-A20058E505E3}"/>
    <hyperlink ref="M82:M85" r:id="rId21" display="23p31a4442@acet.ac.in" xr:uid="{39CCEBF1-593B-4E9E-886C-D281946BC9ED}"/>
    <hyperlink ref="M87:M92" r:id="rId22" display="23p31a4442@acet.ac.in" xr:uid="{EB7EECF5-8769-48C1-BCB2-9F38C0204CE3}"/>
    <hyperlink ref="M94:M96" r:id="rId23" display="23p31a4442@acet.ac.in" xr:uid="{8BB1F4C9-1F83-4FC3-A311-E08F54E0D35F}"/>
    <hyperlink ref="M99" r:id="rId24" xr:uid="{A8DAB886-9B76-4C07-95DA-A30049059F22}"/>
    <hyperlink ref="M101:M102" r:id="rId25" display="23p31a4442@acet.ac.in" xr:uid="{86FBEBB8-BE9A-439E-ABEA-B0EF54982633}"/>
    <hyperlink ref="M104:M105" r:id="rId26" display="23p31a4442@acet.ac.in" xr:uid="{2FF173AB-5F1F-4CB0-8CAF-90AD3206C203}"/>
    <hyperlink ref="M107" r:id="rId27" xr:uid="{CB6C4D8E-34D6-4941-8427-B58356AFB481}"/>
    <hyperlink ref="M113:M118" r:id="rId28" display="23p31a4442@acet.ac.in" xr:uid="{85EDD014-3FE0-4444-B840-52DEFB5DDFEF}"/>
    <hyperlink ref="M122:M124" r:id="rId29" display="23p31a4442@acet.ac.in" xr:uid="{6EA4FC65-9A27-4CC6-9FC5-AD3B271FD984}"/>
    <hyperlink ref="M127" r:id="rId30" xr:uid="{FC20A64D-1485-40E8-A3CB-D4D621BACE97}"/>
    <hyperlink ref="M130" r:id="rId31" xr:uid="{1053CAC9-34DD-4514-9C73-D233FA9277A0}"/>
    <hyperlink ref="M132" r:id="rId32" xr:uid="{52607CC5-6C05-4A28-A2B1-3F99F1FA38C6}"/>
    <hyperlink ref="M134:M136" r:id="rId33" display="23p31a4442@acet.ac.in" xr:uid="{F631C027-FBA5-428F-9C55-E6FD11772850}"/>
    <hyperlink ref="M139" r:id="rId34" xr:uid="{53D39B75-47D3-475D-A3D5-0E167C68DB3C}"/>
    <hyperlink ref="M142:M143" r:id="rId35" display="23p31a4442@acet.ac.in" xr:uid="{B0FF54B2-668A-4E7D-A93E-2E970FA31A64}"/>
    <hyperlink ref="M145:M146" r:id="rId36" display="23p31a4442@acet.ac.in" xr:uid="{F8EDC123-5685-4F48-A32F-18719FE4B9B0}"/>
    <hyperlink ref="M149" r:id="rId37" xr:uid="{1E433BC9-AF3A-4EDE-A353-DAE7A249AFF9}"/>
    <hyperlink ref="M152:M154" r:id="rId38" display="23p31a4442@acet.ac.in" xr:uid="{F32D4DF6-D3DA-4A91-B771-873DA6807442}"/>
    <hyperlink ref="M156" r:id="rId39" xr:uid="{662D6558-A9FB-49F3-ABED-1F1D60881D00}"/>
    <hyperlink ref="M158:M159" r:id="rId40" display="23p31a4442@acet.ac.in" xr:uid="{A9D45619-0CDF-4607-B848-DBD02E6C0CF4}"/>
    <hyperlink ref="M161:M162" r:id="rId41" display="23p31a4442@acet.ac.in" xr:uid="{F0E1D4A3-4376-49CA-9BC3-95BE540BC578}"/>
    <hyperlink ref="M164" r:id="rId42" xr:uid="{9B90FCBF-5BB6-4D63-8E52-15DB24CC2D02}"/>
    <hyperlink ref="M170" r:id="rId43" xr:uid="{91BAA0F9-936F-4500-953C-B81765427E33}"/>
    <hyperlink ref="M173:M174" r:id="rId44" display="23p31a4442@acet.ac.in" xr:uid="{1E500EF4-4F73-46C0-974C-1E43B4F065BA}"/>
    <hyperlink ref="M176:M182" r:id="rId45" display="23p31a4442@acet.ac.in" xr:uid="{0E356735-B7C1-4CBC-9972-AF394BD13017}"/>
    <hyperlink ref="M185:M187" r:id="rId46" display="23p31a4442@acet.ac.in" xr:uid="{87C1BD70-FAB6-4708-8C96-5FBEC685ECBD}"/>
    <hyperlink ref="M189" r:id="rId47" xr:uid="{2504B5C2-80EF-4A4E-9233-CACBA4668D73}"/>
    <hyperlink ref="M191:M195" r:id="rId48" display="23p31a4442@acet.ac.in" xr:uid="{7BEB7E79-DFC7-40FD-BFD0-D52E71B6D62F}"/>
    <hyperlink ref="M197" r:id="rId49" xr:uid="{982C37D5-B909-4F80-9DC0-DCC952989494}"/>
    <hyperlink ref="M199" r:id="rId50" xr:uid="{299427B5-54AD-46EE-B2E2-314DB4372E10}"/>
    <hyperlink ref="M2" r:id="rId51" xr:uid="{4B14C5BD-DFAC-4008-94E1-7BE357CD5362}"/>
    <hyperlink ref="M7:M8" r:id="rId52" display="23p31a4403@acet.ac.in" xr:uid="{EF1CFE9D-651A-45B5-8776-95D843FC8AB5}"/>
    <hyperlink ref="M13:M15" r:id="rId53" display="23p31a4403@acet.ac.in" xr:uid="{361F9523-0279-4838-A5FB-621D05342062}"/>
    <hyperlink ref="M17:M19" r:id="rId54" display="23p31a4403@acet.ac.in" xr:uid="{3BC99E69-97C4-4CD2-BFD6-32A3AA46A8BE}"/>
    <hyperlink ref="M21" r:id="rId55" xr:uid="{1B9FE596-ED8A-4D2E-8FB9-7B6AB8BD4E76}"/>
    <hyperlink ref="M38" r:id="rId56" xr:uid="{FFA9DBD0-6988-48C5-942C-6D404C831F95}"/>
    <hyperlink ref="M40:M41" r:id="rId57" display="23p31a4403@acet.ac.in" xr:uid="{24D884F2-0BE9-4C6F-B8A7-B1CFBB7C0A9F}"/>
    <hyperlink ref="M43" r:id="rId58" xr:uid="{A4BE3A63-AC1D-40CF-8E60-EE7D7249B45A}"/>
    <hyperlink ref="M46" r:id="rId59" xr:uid="{8C6F1F21-3EFE-44DC-BC34-D4547DE8B655}"/>
    <hyperlink ref="M50" r:id="rId60" xr:uid="{786A96DC-C858-416F-864B-E0C04EAC8BCD}"/>
    <hyperlink ref="M53:M54" r:id="rId61" display="23p31a4403@acet.ac.in" xr:uid="{6131DA04-454F-466B-99CD-B469CEA88402}"/>
    <hyperlink ref="M56" r:id="rId62" xr:uid="{552F2CD5-31C8-4DE2-8C6F-81BDE8DE253A}"/>
    <hyperlink ref="M60" r:id="rId63" xr:uid="{F8548748-E9DF-4672-9AAC-BFCAA32B7609}"/>
    <hyperlink ref="M63" r:id="rId64" xr:uid="{F9847829-4F24-4A36-94CD-52FF2C6DB7D2}"/>
    <hyperlink ref="M69:M71" r:id="rId65" display="23p31a4403@acet.ac.in" xr:uid="{FDB596CF-7437-407D-8C5C-FF820C1916A4}"/>
    <hyperlink ref="M76" r:id="rId66" xr:uid="{BF026D4E-05BB-4E6C-832F-15008EE42779}"/>
    <hyperlink ref="M78" r:id="rId67" xr:uid="{459DE324-7D4D-4A15-85E2-8B38F99CC5B2}"/>
    <hyperlink ref="M81" r:id="rId68" xr:uid="{8D0C9505-C6DB-4975-9682-473919FD2447}"/>
    <hyperlink ref="M86" r:id="rId69" xr:uid="{6CBE8943-544B-47F9-B162-8BC38E5B0AA0}"/>
    <hyperlink ref="M93" r:id="rId70" xr:uid="{3093A1F4-55B7-4D2C-BBFD-A84CBD6E6796}"/>
    <hyperlink ref="M97:M98" r:id="rId71" display="23p31a4403@acet.ac.in" xr:uid="{3E463285-6EC8-4263-86E4-986ED8ADAF38}"/>
    <hyperlink ref="M100" r:id="rId72" xr:uid="{5412820D-2AE8-46E5-B55F-140307677FCF}"/>
    <hyperlink ref="M103" r:id="rId73" xr:uid="{69E0D231-02B9-4EAE-91BC-A42FD80E8E03}"/>
    <hyperlink ref="M106" r:id="rId74" xr:uid="{B43B480C-7D91-4015-B777-05D5730A83E6}"/>
    <hyperlink ref="M108:M112" r:id="rId75" display="23p31a4403@acet.ac.in" xr:uid="{6703484D-0770-4075-9E3E-D74920ECDFB7}"/>
    <hyperlink ref="M119:M121" r:id="rId76" display="23p31a4403@acet.ac.in" xr:uid="{41DB6FD3-CDC7-4308-BD5B-2B2152D6BB98}"/>
    <hyperlink ref="M125:M126" r:id="rId77" display="23p31a4403@acet.ac.in" xr:uid="{8A67859C-6E1E-434F-B7E8-68D2DBB32274}"/>
    <hyperlink ref="M128:M129" r:id="rId78" display="23p31a4403@acet.ac.in" xr:uid="{6DBF092A-AA20-4AB3-BB3E-AFB06832994C}"/>
    <hyperlink ref="M131" r:id="rId79" xr:uid="{34E704E3-E09D-42FD-998C-69D4A1E2BB63}"/>
    <hyperlink ref="M133" r:id="rId80" xr:uid="{848CCEB3-A78C-4DAB-8C94-250C4ADBB07F}"/>
    <hyperlink ref="M137:M138" r:id="rId81" display="23p31a4403@acet.ac.in" xr:uid="{1BAA5091-A22D-4D34-94A6-F69B814595C1}"/>
    <hyperlink ref="M140:M141" r:id="rId82" display="23p31a4403@acet.ac.in" xr:uid="{A6AFE231-521E-4B7A-8EB5-80BF1AAE7E42}"/>
    <hyperlink ref="M144" r:id="rId83" xr:uid="{13C5293E-46EF-4ACD-BE58-1730D358B486}"/>
    <hyperlink ref="M147:M148" r:id="rId84" display="23p31a4403@acet.ac.in" xr:uid="{27D08CEF-DE3C-4433-9BE5-4B0779525FC5}"/>
    <hyperlink ref="M150:M151" r:id="rId85" display="23p31a4403@acet.ac.in" xr:uid="{2671E80E-1A01-42B0-B64A-0C238397A49C}"/>
    <hyperlink ref="M155" r:id="rId86" xr:uid="{C155C224-FBC0-482B-9411-BD43271EEB7A}"/>
    <hyperlink ref="M157" r:id="rId87" xr:uid="{2F6C3ACA-36F2-4B35-A894-F4F759C76A82}"/>
    <hyperlink ref="M160" r:id="rId88" xr:uid="{487BAB8A-6AAC-4662-9920-30E7163CCA25}"/>
    <hyperlink ref="M163" r:id="rId89" xr:uid="{C01C2F10-B22C-470F-9522-63F79FF16E47}"/>
    <hyperlink ref="M165:M169" r:id="rId90" display="23p31a4403@acet.ac.in" xr:uid="{0A24EA67-11D5-43B7-9D91-B253E3D8B999}"/>
    <hyperlink ref="M171:M172" r:id="rId91" display="23p31a4403@acet.ac.in" xr:uid="{16D6271C-15A4-4A5B-819B-24DBA81D535D}"/>
    <hyperlink ref="M175" r:id="rId92" xr:uid="{A4DAC515-E6EA-4CDA-823F-020D85069DCC}"/>
    <hyperlink ref="M183:M184" r:id="rId93" display="23p31a4403@acet.ac.in" xr:uid="{687BF3A2-EBC2-4F01-A8AA-3B0F83DE9B43}"/>
    <hyperlink ref="M188" r:id="rId94" xr:uid="{6A36B9D6-707D-4C8F-A35E-68822383C528}"/>
    <hyperlink ref="M190" r:id="rId95" xr:uid="{5192CEDC-E0BD-4068-9831-7C38ABD35074}"/>
    <hyperlink ref="M196" r:id="rId96" xr:uid="{62A4BF5C-6138-4ABC-B1DA-9E35003D4C4C}"/>
    <hyperlink ref="M198" r:id="rId97" xr:uid="{BB6EA59D-1252-46C6-BB26-0BECD9A9D4C0}"/>
    <hyperlink ref="M200" r:id="rId98" xr:uid="{AD43C6F2-38B7-45BF-BB43-AEB5921BBCB1}"/>
    <hyperlink ref="M15" r:id="rId99" xr:uid="{6C42A2FF-2050-40A6-BE1C-2BFDB7CCCA06}"/>
  </hyperlinks>
  <pageMargins left="0.7" right="0.7" top="0.75" bottom="0.75" header="0.3" footer="0.3"/>
  <pageSetup paperSize="9" orientation="portrait" r:id="rId100"/>
  <tableParts count="1">
    <tablePart r:id="rId10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4D39-FA4E-4459-A95F-6DC07C3F5984}">
  <dimension ref="B2:U106"/>
  <sheetViews>
    <sheetView topLeftCell="A13" zoomScale="86" zoomScaleNormal="100" workbookViewId="0">
      <selection activeCell="M67" sqref="M67"/>
    </sheetView>
  </sheetViews>
  <sheetFormatPr defaultColWidth="8.88671875" defaultRowHeight="14.4" x14ac:dyDescent="0.3"/>
  <cols>
    <col min="2" max="2" width="23.44140625" bestFit="1" customWidth="1"/>
    <col min="3" max="3" width="13.5546875" bestFit="1" customWidth="1"/>
    <col min="4" max="4" width="21.109375" bestFit="1" customWidth="1"/>
    <col min="5" max="5" width="10.33203125" customWidth="1"/>
    <col min="6" max="6" width="42.33203125" bestFit="1" customWidth="1"/>
    <col min="7" max="7" width="22.44140625" bestFit="1" customWidth="1"/>
    <col min="8" max="8" width="13.88671875" bestFit="1" customWidth="1"/>
    <col min="9" max="9" width="26.33203125" bestFit="1" customWidth="1"/>
    <col min="10" max="10" width="37.77734375" bestFit="1" customWidth="1"/>
    <col min="11" max="11" width="24.6640625" bestFit="1" customWidth="1"/>
    <col min="12" max="12" width="22.5546875" bestFit="1" customWidth="1"/>
    <col min="13" max="13" width="28.109375" bestFit="1" customWidth="1"/>
    <col min="14" max="14" width="31.109375" bestFit="1" customWidth="1"/>
    <col min="15" max="15" width="9.109375" bestFit="1" customWidth="1"/>
    <col min="16" max="16" width="62.44140625" bestFit="1" customWidth="1"/>
    <col min="17" max="17" width="12.33203125" bestFit="1" customWidth="1"/>
    <col min="18" max="18" width="23.44140625" bestFit="1" customWidth="1"/>
    <col min="19" max="19" width="11.5546875" bestFit="1" customWidth="1"/>
    <col min="20" max="20" width="21.5546875" bestFit="1" customWidth="1"/>
    <col min="21" max="21" width="21.109375" bestFit="1" customWidth="1"/>
    <col min="22" max="22" width="13.21875" bestFit="1" customWidth="1"/>
    <col min="23" max="23" width="12.5546875" bestFit="1" customWidth="1"/>
    <col min="24" max="24" width="18.44140625" bestFit="1" customWidth="1"/>
    <col min="25" max="25" width="34.44140625" bestFit="1" customWidth="1"/>
    <col min="26" max="26" width="22.44140625" bestFit="1" customWidth="1"/>
    <col min="27" max="27" width="24.6640625" bestFit="1" customWidth="1"/>
    <col min="28" max="28" width="12.88671875" bestFit="1" customWidth="1"/>
    <col min="29" max="29" width="27.44140625" bestFit="1" customWidth="1"/>
    <col min="30" max="30" width="14.77734375" bestFit="1" customWidth="1"/>
    <col min="31" max="31" width="17.6640625" bestFit="1" customWidth="1"/>
    <col min="32" max="32" width="34.5546875" bestFit="1" customWidth="1"/>
    <col min="33" max="33" width="23.109375" bestFit="1" customWidth="1"/>
    <col min="34" max="34" width="27.44140625" bestFit="1" customWidth="1"/>
    <col min="35" max="35" width="30.44140625" bestFit="1" customWidth="1"/>
    <col min="36" max="36" width="42.109375" bestFit="1" customWidth="1"/>
    <col min="37" max="37" width="20.44140625" bestFit="1" customWidth="1"/>
    <col min="38" max="38" width="12.5546875" bestFit="1" customWidth="1"/>
    <col min="39" max="39" width="11.44140625" bestFit="1" customWidth="1"/>
    <col min="40" max="40" width="23.109375" bestFit="1" customWidth="1"/>
    <col min="41" max="41" width="11.109375" bestFit="1" customWidth="1"/>
    <col min="42" max="42" width="20.44140625" bestFit="1" customWidth="1"/>
    <col min="43" max="43" width="16.5546875" bestFit="1" customWidth="1"/>
    <col min="44" max="44" width="48.44140625" bestFit="1" customWidth="1"/>
    <col min="45" max="45" width="10.6640625" bestFit="1" customWidth="1"/>
    <col min="46" max="70" width="3.109375" bestFit="1" customWidth="1"/>
    <col min="71" max="160" width="4.21875" bestFit="1" customWidth="1"/>
    <col min="161" max="161" width="11.44140625" bestFit="1" customWidth="1"/>
    <col min="162" max="177" width="4.44140625" bestFit="1" customWidth="1"/>
    <col min="178" max="178" width="9.5546875" bestFit="1" customWidth="1"/>
    <col min="179" max="179" width="11.44140625" bestFit="1" customWidth="1"/>
  </cols>
  <sheetData>
    <row r="2" spans="2:10" x14ac:dyDescent="0.3">
      <c r="D2" s="3"/>
    </row>
    <row r="5" spans="2:10" x14ac:dyDescent="0.3">
      <c r="B5" t="s">
        <v>283</v>
      </c>
      <c r="C5" t="s">
        <v>284</v>
      </c>
      <c r="D5" t="s">
        <v>285</v>
      </c>
      <c r="F5" t="str" cm="1">
        <f t="array" ref="F5:G6">C5:D6</f>
        <v>Sum of NO_OF_STOCK_UNIT_PURCHASED_BY_STORE</v>
      </c>
      <c r="G5" t="str">
        <v>Sum of SOLD_STOCK</v>
      </c>
      <c r="I5" t="str" cm="1">
        <f t="array" ref="I5:J6">B5:C6</f>
        <v>Sum of NO_OF_STOCK_LEFT</v>
      </c>
      <c r="J5" t="str">
        <v>Sum of NO_OF_STOCK_UNIT_PURCHASED_BY_STORE</v>
      </c>
    </row>
    <row r="6" spans="2:10" x14ac:dyDescent="0.3">
      <c r="B6" s="3">
        <v>26218</v>
      </c>
      <c r="C6">
        <v>54727</v>
      </c>
      <c r="D6" s="3">
        <v>28509</v>
      </c>
      <c r="F6">
        <v>54727</v>
      </c>
      <c r="G6">
        <v>28509</v>
      </c>
      <c r="I6">
        <v>26218</v>
      </c>
      <c r="J6">
        <v>54727</v>
      </c>
    </row>
    <row r="11" spans="2:10" x14ac:dyDescent="0.3">
      <c r="B11" t="s">
        <v>286</v>
      </c>
      <c r="C11" t="s">
        <v>287</v>
      </c>
    </row>
    <row r="12" spans="2:10" x14ac:dyDescent="0.3">
      <c r="B12" s="32" t="s">
        <v>25</v>
      </c>
      <c r="C12">
        <v>311122.97999999992</v>
      </c>
      <c r="F12" s="31" t="s">
        <v>286</v>
      </c>
      <c r="G12" t="s">
        <v>288</v>
      </c>
    </row>
    <row r="13" spans="2:10" x14ac:dyDescent="0.3">
      <c r="B13" s="32" t="s">
        <v>55</v>
      </c>
      <c r="C13">
        <v>193209.26000000004</v>
      </c>
      <c r="F13" s="32" t="s">
        <v>159</v>
      </c>
      <c r="G13" s="8">
        <v>0.4</v>
      </c>
    </row>
    <row r="14" spans="2:10" x14ac:dyDescent="0.3">
      <c r="B14" s="32" t="s">
        <v>43</v>
      </c>
      <c r="C14">
        <v>194157.64000000004</v>
      </c>
      <c r="F14" s="32" t="s">
        <v>90</v>
      </c>
      <c r="G14" s="8">
        <v>0.05</v>
      </c>
    </row>
    <row r="15" spans="2:10" x14ac:dyDescent="0.3">
      <c r="B15" s="32" t="s">
        <v>63</v>
      </c>
      <c r="C15">
        <v>143168.84000000003</v>
      </c>
      <c r="F15" s="32" t="s">
        <v>289</v>
      </c>
      <c r="G15" s="8">
        <v>0.4</v>
      </c>
    </row>
    <row r="16" spans="2:10" x14ac:dyDescent="0.3">
      <c r="B16" s="32" t="s">
        <v>38</v>
      </c>
      <c r="C16">
        <v>227825.30999999997</v>
      </c>
      <c r="F16" s="32" t="s">
        <v>56</v>
      </c>
      <c r="G16" s="8">
        <v>0.05</v>
      </c>
    </row>
    <row r="17" spans="2:18" x14ac:dyDescent="0.3">
      <c r="B17" s="32" t="s">
        <v>49</v>
      </c>
      <c r="C17">
        <v>329570.18000000005</v>
      </c>
      <c r="F17" s="32" t="s">
        <v>106</v>
      </c>
      <c r="G17" s="8">
        <v>0.22500000000000001</v>
      </c>
    </row>
    <row r="18" spans="2:18" x14ac:dyDescent="0.3">
      <c r="B18" s="32" t="s">
        <v>20</v>
      </c>
      <c r="C18">
        <v>426026.62999999995</v>
      </c>
      <c r="F18" s="32" t="s">
        <v>34</v>
      </c>
      <c r="G18" s="8">
        <v>0.2</v>
      </c>
    </row>
    <row r="19" spans="2:18" x14ac:dyDescent="0.3">
      <c r="B19" s="32" t="s">
        <v>30</v>
      </c>
      <c r="C19">
        <v>134487.56</v>
      </c>
      <c r="F19" s="32" t="s">
        <v>53</v>
      </c>
      <c r="G19" s="8">
        <v>0.30000000000000004</v>
      </c>
    </row>
    <row r="20" spans="2:18" x14ac:dyDescent="0.3">
      <c r="B20" s="32" t="s">
        <v>290</v>
      </c>
      <c r="C20">
        <v>1959568.4</v>
      </c>
      <c r="F20" s="32" t="s">
        <v>50</v>
      </c>
      <c r="G20" s="8">
        <v>0.14000000000000001</v>
      </c>
    </row>
    <row r="21" spans="2:18" x14ac:dyDescent="0.3">
      <c r="F21" s="32" t="s">
        <v>134</v>
      </c>
      <c r="G21" s="8">
        <v>0.26666666666666666</v>
      </c>
      <c r="J21" s="31" t="s">
        <v>286</v>
      </c>
      <c r="K21" t="s">
        <v>283</v>
      </c>
      <c r="N21" s="3" t="str" cm="1">
        <f t="array" ref="N21:O29">J21:K29</f>
        <v>Row Labels</v>
      </c>
      <c r="O21" t="str">
        <v>Sum of NO_OF_STOCK_LEFT</v>
      </c>
    </row>
    <row r="22" spans="2:18" x14ac:dyDescent="0.3">
      <c r="B22" t="str" cm="1">
        <f t="array" ref="B22:C30">B11:C19</f>
        <v>Row Labels</v>
      </c>
      <c r="C22" t="str">
        <v>Sum of PROFIT</v>
      </c>
      <c r="F22" s="32" t="s">
        <v>39</v>
      </c>
      <c r="G22" s="8">
        <v>0.125</v>
      </c>
      <c r="J22" s="32" t="s">
        <v>25</v>
      </c>
      <c r="K22" s="3">
        <v>3407</v>
      </c>
      <c r="L22" s="3"/>
      <c r="N22" t="str">
        <v>Bakery</v>
      </c>
      <c r="O22">
        <v>3407</v>
      </c>
    </row>
    <row r="23" spans="2:18" x14ac:dyDescent="0.3">
      <c r="B23" t="str">
        <v>Bakery</v>
      </c>
      <c r="C23">
        <v>311122.97999999992</v>
      </c>
      <c r="F23" s="32" t="s">
        <v>149</v>
      </c>
      <c r="G23" s="8">
        <v>0.05</v>
      </c>
      <c r="J23" s="32" t="s">
        <v>55</v>
      </c>
      <c r="K23" s="3">
        <v>2664</v>
      </c>
      <c r="L23" s="3"/>
      <c r="N23" t="str">
        <v>Beverages</v>
      </c>
      <c r="O23">
        <v>2664</v>
      </c>
    </row>
    <row r="24" spans="2:18" x14ac:dyDescent="0.3">
      <c r="B24" t="str">
        <v>Beverages</v>
      </c>
      <c r="C24">
        <v>193209.26000000004</v>
      </c>
      <c r="F24" s="32" t="s">
        <v>80</v>
      </c>
      <c r="G24" s="8">
        <v>0.4</v>
      </c>
      <c r="J24" s="32" t="s">
        <v>43</v>
      </c>
      <c r="K24" s="3">
        <v>2264</v>
      </c>
      <c r="L24" s="3"/>
      <c r="N24" t="str">
        <v>Dairy</v>
      </c>
      <c r="O24">
        <v>2264</v>
      </c>
    </row>
    <row r="25" spans="2:18" x14ac:dyDescent="0.3">
      <c r="B25" t="str">
        <v>Dairy</v>
      </c>
      <c r="C25">
        <v>194157.64000000004</v>
      </c>
      <c r="F25" s="32" t="s">
        <v>85</v>
      </c>
      <c r="G25" s="8">
        <v>0.22500000000000001</v>
      </c>
      <c r="J25" s="32" t="s">
        <v>63</v>
      </c>
      <c r="K25" s="3">
        <v>2586</v>
      </c>
      <c r="L25" s="3"/>
      <c r="N25" t="str">
        <v>Frozen Foods</v>
      </c>
      <c r="O25">
        <v>2586</v>
      </c>
    </row>
    <row r="26" spans="2:18" x14ac:dyDescent="0.3">
      <c r="B26" t="str">
        <v>Frozen Foods</v>
      </c>
      <c r="C26">
        <v>143168.84000000003</v>
      </c>
      <c r="F26" s="32" t="s">
        <v>98</v>
      </c>
      <c r="G26" s="8">
        <v>8.7500000000000008E-2</v>
      </c>
      <c r="J26" s="32" t="s">
        <v>38</v>
      </c>
      <c r="K26" s="3">
        <v>4241</v>
      </c>
      <c r="L26" s="3"/>
      <c r="N26" t="str">
        <v>Grocery</v>
      </c>
      <c r="O26">
        <v>4241</v>
      </c>
    </row>
    <row r="27" spans="2:18" x14ac:dyDescent="0.3">
      <c r="B27" t="str">
        <v>Grocery</v>
      </c>
      <c r="C27">
        <v>227825.30999999997</v>
      </c>
      <c r="F27" s="32" t="s">
        <v>290</v>
      </c>
      <c r="G27" s="8">
        <v>0.19074074074074077</v>
      </c>
      <c r="J27" s="32" t="s">
        <v>49</v>
      </c>
      <c r="K27" s="3">
        <v>4659</v>
      </c>
      <c r="L27" s="3"/>
      <c r="N27" t="str">
        <v>Household</v>
      </c>
      <c r="O27">
        <v>4659</v>
      </c>
    </row>
    <row r="28" spans="2:18" x14ac:dyDescent="0.3">
      <c r="B28" t="str">
        <v>Household</v>
      </c>
      <c r="C28">
        <v>329570.18000000005</v>
      </c>
      <c r="J28" s="32" t="s">
        <v>20</v>
      </c>
      <c r="K28" s="3">
        <v>5137</v>
      </c>
      <c r="L28" s="3"/>
      <c r="N28" t="str">
        <v>Personal Care</v>
      </c>
      <c r="O28">
        <v>5137</v>
      </c>
    </row>
    <row r="29" spans="2:18" x14ac:dyDescent="0.3">
      <c r="B29" t="str">
        <v>Personal Care</v>
      </c>
      <c r="C29">
        <v>426026.62999999995</v>
      </c>
      <c r="G29" t="s">
        <v>288</v>
      </c>
      <c r="J29" s="32" t="s">
        <v>30</v>
      </c>
      <c r="K29" s="3">
        <v>1260</v>
      </c>
      <c r="L29" s="3"/>
      <c r="N29" t="str">
        <v>Snacks</v>
      </c>
      <c r="O29">
        <v>1260</v>
      </c>
    </row>
    <row r="30" spans="2:18" x14ac:dyDescent="0.3">
      <c r="B30" t="str">
        <v>Snacks</v>
      </c>
      <c r="C30">
        <v>134487.56</v>
      </c>
      <c r="G30" s="8">
        <v>0.18869346733668341</v>
      </c>
      <c r="J30" s="32" t="s">
        <v>290</v>
      </c>
      <c r="K30" s="3">
        <v>26218</v>
      </c>
      <c r="L30" s="3"/>
    </row>
    <row r="32" spans="2:18" x14ac:dyDescent="0.3">
      <c r="Q32" s="31" t="s">
        <v>18</v>
      </c>
      <c r="R32" t="s">
        <v>291</v>
      </c>
    </row>
    <row r="33" spans="2:21" x14ac:dyDescent="0.3">
      <c r="J33" s="31" t="s">
        <v>286</v>
      </c>
      <c r="K33" t="s">
        <v>285</v>
      </c>
      <c r="N33" t="str" cm="1">
        <f t="array" ref="N33:O41">J33:K41</f>
        <v>Row Labels</v>
      </c>
      <c r="O33" t="str">
        <v>Sum of SOLD_STOCK</v>
      </c>
    </row>
    <row r="34" spans="2:21" x14ac:dyDescent="0.3">
      <c r="J34" s="32" t="s">
        <v>25</v>
      </c>
      <c r="K34" s="3">
        <v>4931</v>
      </c>
      <c r="L34" s="3"/>
      <c r="N34" t="str">
        <v>Bakery</v>
      </c>
      <c r="O34">
        <v>4931</v>
      </c>
      <c r="Q34" s="31" t="s">
        <v>286</v>
      </c>
      <c r="R34" t="s">
        <v>292</v>
      </c>
      <c r="T34" t="str" cm="1">
        <f t="array" ref="T34:U48">Q34:R48</f>
        <v>Row Labels</v>
      </c>
      <c r="U34" t="str">
        <v>Count of EXPIRY STATUS</v>
      </c>
    </row>
    <row r="35" spans="2:21" x14ac:dyDescent="0.3">
      <c r="J35" s="32" t="s">
        <v>55</v>
      </c>
      <c r="K35" s="3">
        <v>2550</v>
      </c>
      <c r="L35" s="3"/>
      <c r="N35" t="str">
        <v>Beverages</v>
      </c>
      <c r="O35">
        <v>2550</v>
      </c>
      <c r="Q35" s="32" t="s">
        <v>159</v>
      </c>
      <c r="R35">
        <v>1</v>
      </c>
      <c r="T35" t="str">
        <v>Amul Butter - Pasteurised</v>
      </c>
      <c r="U35">
        <v>1</v>
      </c>
    </row>
    <row r="36" spans="2:21" x14ac:dyDescent="0.3">
      <c r="B36" t="s">
        <v>293</v>
      </c>
      <c r="J36" s="32" t="s">
        <v>43</v>
      </c>
      <c r="K36" s="3">
        <v>3403</v>
      </c>
      <c r="L36" s="3"/>
      <c r="N36" t="str">
        <v>Dairy</v>
      </c>
      <c r="O36">
        <v>3403</v>
      </c>
      <c r="Q36" s="32" t="s">
        <v>90</v>
      </c>
      <c r="R36">
        <v>2</v>
      </c>
      <c r="T36" t="str">
        <v>Britannia Bread 400g</v>
      </c>
      <c r="U36">
        <v>2</v>
      </c>
    </row>
    <row r="37" spans="2:21" x14ac:dyDescent="0.3">
      <c r="B37">
        <v>199</v>
      </c>
      <c r="C37" s="44"/>
      <c r="J37" s="32" t="s">
        <v>63</v>
      </c>
      <c r="K37" s="3">
        <v>2613</v>
      </c>
      <c r="L37" s="3"/>
      <c r="N37" t="str">
        <v>Frozen Foods</v>
      </c>
      <c r="O37">
        <v>2613</v>
      </c>
      <c r="Q37" s="32" t="s">
        <v>266</v>
      </c>
      <c r="R37">
        <v>1</v>
      </c>
      <c r="T37" t="str">
        <v>Britannia Pav</v>
      </c>
      <c r="U37">
        <v>1</v>
      </c>
    </row>
    <row r="38" spans="2:21" x14ac:dyDescent="0.3">
      <c r="J38" s="32" t="s">
        <v>38</v>
      </c>
      <c r="K38" s="3">
        <v>4020</v>
      </c>
      <c r="L38" s="3"/>
      <c r="N38" t="str">
        <v>Grocery</v>
      </c>
      <c r="O38">
        <v>4020</v>
      </c>
      <c r="Q38" s="32" t="s">
        <v>106</v>
      </c>
      <c r="R38">
        <v>2</v>
      </c>
      <c r="T38" t="str">
        <v>Colgate Toothpaste 100g</v>
      </c>
      <c r="U38">
        <v>2</v>
      </c>
    </row>
    <row r="39" spans="2:21" x14ac:dyDescent="0.3">
      <c r="J39" s="32" t="s">
        <v>49</v>
      </c>
      <c r="K39" s="3">
        <v>3937</v>
      </c>
      <c r="L39" s="3"/>
      <c r="N39" t="str">
        <v>Household</v>
      </c>
      <c r="O39">
        <v>3937</v>
      </c>
      <c r="Q39" s="32" t="s">
        <v>34</v>
      </c>
      <c r="R39">
        <v>1</v>
      </c>
      <c r="T39" t="str">
        <v>Dove Soap 75g</v>
      </c>
      <c r="U39">
        <v>1</v>
      </c>
    </row>
    <row r="40" spans="2:21" x14ac:dyDescent="0.3">
      <c r="J40" s="32" t="s">
        <v>20</v>
      </c>
      <c r="K40" s="3">
        <v>5757</v>
      </c>
      <c r="L40" s="3"/>
      <c r="N40" t="str">
        <v>Personal Care</v>
      </c>
      <c r="O40">
        <v>5757</v>
      </c>
      <c r="Q40" s="32" t="s">
        <v>53</v>
      </c>
      <c r="R40">
        <v>2</v>
      </c>
      <c r="T40" t="str">
        <v>Fortune Oil 1L</v>
      </c>
      <c r="U40">
        <v>2</v>
      </c>
    </row>
    <row r="41" spans="2:21" x14ac:dyDescent="0.3">
      <c r="J41" s="32" t="s">
        <v>30</v>
      </c>
      <c r="K41" s="3">
        <v>1298</v>
      </c>
      <c r="L41" s="3"/>
      <c r="N41" t="str">
        <v>Snacks</v>
      </c>
      <c r="O41">
        <v>1298</v>
      </c>
      <c r="Q41" s="32" t="s">
        <v>134</v>
      </c>
      <c r="R41">
        <v>1</v>
      </c>
      <c r="T41" t="str">
        <v>Kwality Walls Ice Cream 500ml</v>
      </c>
      <c r="U41">
        <v>1</v>
      </c>
    </row>
    <row r="42" spans="2:21" x14ac:dyDescent="0.3">
      <c r="B42" s="31" t="s">
        <v>18</v>
      </c>
      <c r="C42" t="s">
        <v>291</v>
      </c>
      <c r="J42" s="32" t="s">
        <v>290</v>
      </c>
      <c r="K42" s="3">
        <v>28509</v>
      </c>
      <c r="L42" s="3"/>
      <c r="Q42" s="32" t="s">
        <v>39</v>
      </c>
      <c r="R42">
        <v>1</v>
      </c>
      <c r="T42" t="str">
        <v>Maggie Noodles 70g</v>
      </c>
      <c r="U42">
        <v>1</v>
      </c>
    </row>
    <row r="43" spans="2:21" x14ac:dyDescent="0.3">
      <c r="Q43" s="32" t="s">
        <v>59</v>
      </c>
      <c r="R43">
        <v>1</v>
      </c>
      <c r="T43" t="str">
        <v>Mother Dairy Toned Milk Pouch</v>
      </c>
      <c r="U43">
        <v>1</v>
      </c>
    </row>
    <row r="44" spans="2:21" x14ac:dyDescent="0.3">
      <c r="B44" t="s">
        <v>292</v>
      </c>
      <c r="Q44" s="32" t="s">
        <v>149</v>
      </c>
      <c r="R44">
        <v>5</v>
      </c>
      <c r="T44" t="str">
        <v>Nestle Milk 1L</v>
      </c>
      <c r="U44">
        <v>5</v>
      </c>
    </row>
    <row r="45" spans="2:21" x14ac:dyDescent="0.3">
      <c r="B45">
        <v>26</v>
      </c>
      <c r="Q45" s="32" t="s">
        <v>26</v>
      </c>
      <c r="R45">
        <v>2</v>
      </c>
      <c r="T45" t="str">
        <v>Parle G 100g</v>
      </c>
      <c r="U45">
        <v>2</v>
      </c>
    </row>
    <row r="46" spans="2:21" x14ac:dyDescent="0.3">
      <c r="Q46" s="32" t="s">
        <v>85</v>
      </c>
      <c r="R46">
        <v>4</v>
      </c>
      <c r="T46" t="str">
        <v>Pepsi 500ml</v>
      </c>
      <c r="U46">
        <v>4</v>
      </c>
    </row>
    <row r="47" spans="2:21" x14ac:dyDescent="0.3">
      <c r="Q47" s="32" t="s">
        <v>47</v>
      </c>
      <c r="R47">
        <v>1</v>
      </c>
      <c r="T47" t="str">
        <v>Sunfeast Biscuits 200g</v>
      </c>
      <c r="U47">
        <v>1</v>
      </c>
    </row>
    <row r="48" spans="2:21" x14ac:dyDescent="0.3">
      <c r="J48" s="31" t="s">
        <v>1</v>
      </c>
      <c r="K48" t="s">
        <v>25</v>
      </c>
      <c r="Q48" s="32" t="s">
        <v>98</v>
      </c>
      <c r="R48">
        <v>1</v>
      </c>
      <c r="T48" t="str">
        <v>Tide Detergent 1kg</v>
      </c>
      <c r="U48">
        <v>1</v>
      </c>
    </row>
    <row r="49" spans="2:18" x14ac:dyDescent="0.3">
      <c r="B49" t="s">
        <v>294</v>
      </c>
      <c r="C49" t="s">
        <v>283</v>
      </c>
      <c r="Q49" s="32" t="s">
        <v>93</v>
      </c>
      <c r="R49">
        <v>1</v>
      </c>
    </row>
    <row r="50" spans="2:18" x14ac:dyDescent="0.3">
      <c r="B50" s="8">
        <v>37.549999999999997</v>
      </c>
      <c r="C50" s="3">
        <v>26218</v>
      </c>
      <c r="J50" s="31" t="s">
        <v>286</v>
      </c>
      <c r="K50" t="s">
        <v>283</v>
      </c>
      <c r="Q50" s="32" t="s">
        <v>290</v>
      </c>
      <c r="R50">
        <v>26</v>
      </c>
    </row>
    <row r="51" spans="2:18" x14ac:dyDescent="0.3">
      <c r="J51" s="32" t="s">
        <v>295</v>
      </c>
      <c r="K51" s="3">
        <v>62</v>
      </c>
    </row>
    <row r="52" spans="2:18" x14ac:dyDescent="0.3">
      <c r="J52" s="32" t="s">
        <v>80</v>
      </c>
      <c r="K52" s="3">
        <v>237</v>
      </c>
    </row>
    <row r="53" spans="2:18" x14ac:dyDescent="0.3">
      <c r="J53" s="32" t="s">
        <v>47</v>
      </c>
      <c r="K53" s="3">
        <v>464</v>
      </c>
    </row>
    <row r="54" spans="2:18" x14ac:dyDescent="0.3">
      <c r="J54" s="32" t="s">
        <v>90</v>
      </c>
      <c r="K54" s="3">
        <v>814</v>
      </c>
    </row>
    <row r="55" spans="2:18" x14ac:dyDescent="0.3">
      <c r="J55" s="32" t="s">
        <v>26</v>
      </c>
      <c r="K55" s="3">
        <v>1830</v>
      </c>
    </row>
    <row r="56" spans="2:18" x14ac:dyDescent="0.3">
      <c r="J56" s="32" t="s">
        <v>290</v>
      </c>
      <c r="K56" s="3">
        <v>3407</v>
      </c>
    </row>
    <row r="58" spans="2:18" x14ac:dyDescent="0.3">
      <c r="I58" s="43"/>
    </row>
    <row r="78" spans="13:17" x14ac:dyDescent="0.3">
      <c r="M78" s="31" t="s">
        <v>15</v>
      </c>
      <c r="N78" t="s">
        <v>296</v>
      </c>
    </row>
    <row r="79" spans="13:17" x14ac:dyDescent="0.3">
      <c r="P79" t="str" cm="1">
        <f t="array" ref="P79:Q83">M81:N85</f>
        <v>Maggie Noodles 250g</v>
      </c>
      <c r="Q79">
        <v>480</v>
      </c>
    </row>
    <row r="80" spans="13:17" x14ac:dyDescent="0.3">
      <c r="M80" s="31" t="s">
        <v>286</v>
      </c>
      <c r="N80" t="s">
        <v>285</v>
      </c>
      <c r="P80" t="str">
        <v>Nestle Milk 1L</v>
      </c>
      <c r="Q80">
        <v>464</v>
      </c>
    </row>
    <row r="81" spans="13:17" x14ac:dyDescent="0.3">
      <c r="M81" s="32" t="s">
        <v>199</v>
      </c>
      <c r="N81" s="3">
        <v>480</v>
      </c>
      <c r="P81" t="str">
        <v>iD Curd Pouch</v>
      </c>
      <c r="Q81">
        <v>462</v>
      </c>
    </row>
    <row r="82" spans="13:17" x14ac:dyDescent="0.3">
      <c r="M82" s="32" t="s">
        <v>149</v>
      </c>
      <c r="N82" s="3">
        <v>464</v>
      </c>
      <c r="P82" t="str">
        <v>Godrej Air Freshener</v>
      </c>
      <c r="Q82">
        <v>431</v>
      </c>
    </row>
    <row r="83" spans="13:17" x14ac:dyDescent="0.3">
      <c r="M83" s="32" t="s">
        <v>223</v>
      </c>
      <c r="N83" s="3">
        <v>462</v>
      </c>
      <c r="P83" t="str">
        <v>Kwality Walls Ice Cream 500ml</v>
      </c>
      <c r="Q83">
        <v>422</v>
      </c>
    </row>
    <row r="84" spans="13:17" x14ac:dyDescent="0.3">
      <c r="M84" s="32" t="s">
        <v>50</v>
      </c>
      <c r="N84" s="3">
        <v>431</v>
      </c>
    </row>
    <row r="85" spans="13:17" x14ac:dyDescent="0.3">
      <c r="M85" s="32" t="s">
        <v>134</v>
      </c>
      <c r="N85" s="3">
        <v>422</v>
      </c>
    </row>
    <row r="86" spans="13:17" x14ac:dyDescent="0.3">
      <c r="M86" s="32" t="s">
        <v>290</v>
      </c>
      <c r="N86" s="3">
        <v>2259</v>
      </c>
    </row>
    <row r="106" spans="13:13" x14ac:dyDescent="0.3">
      <c r="M106" t="s">
        <v>297</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AD3E-7A51-42C3-978A-D02EBEEB11FE}">
  <dimension ref="E1:X53"/>
  <sheetViews>
    <sheetView showGridLines="0" tabSelected="1" zoomScale="43" zoomScaleNormal="100" workbookViewId="0">
      <selection activeCell="L34" sqref="L34"/>
    </sheetView>
  </sheetViews>
  <sheetFormatPr defaultColWidth="10.88671875" defaultRowHeight="14.4" x14ac:dyDescent="0.3"/>
  <cols>
    <col min="1" max="20" width="10.88671875" style="35"/>
    <col min="21" max="21" width="23.44140625" style="35" customWidth="1"/>
    <col min="22" max="22" width="42.109375" style="35" customWidth="1"/>
    <col min="23" max="23" width="69.109375" style="35" bestFit="1" customWidth="1"/>
    <col min="24" max="24" width="34.77734375" style="35" bestFit="1" customWidth="1"/>
    <col min="25" max="25" width="10.88671875" style="35" customWidth="1"/>
    <col min="26" max="26" width="10.88671875" style="35" bestFit="1" customWidth="1"/>
    <col min="27" max="27" width="10" style="35" bestFit="1" customWidth="1"/>
    <col min="28" max="16384" width="10.88671875" style="35"/>
  </cols>
  <sheetData>
    <row r="1" spans="5:24" s="34" customFormat="1" x14ac:dyDescent="0.3"/>
    <row r="2" spans="5:24" s="34" customFormat="1" x14ac:dyDescent="0.3"/>
    <row r="3" spans="5:24" s="34" customFormat="1" x14ac:dyDescent="0.3"/>
    <row r="4" spans="5:24" s="34" customFormat="1" ht="18" x14ac:dyDescent="0.35">
      <c r="W4" s="45" t="s">
        <v>298</v>
      </c>
      <c r="X4" s="46" t="s">
        <v>288</v>
      </c>
    </row>
    <row r="5" spans="5:24" s="34" customFormat="1" ht="18" x14ac:dyDescent="0.35">
      <c r="E5" s="33"/>
      <c r="W5" s="51" t="s">
        <v>90</v>
      </c>
      <c r="X5" s="50">
        <v>0.14499999999999999</v>
      </c>
    </row>
    <row r="6" spans="5:24" s="34" customFormat="1" ht="18" x14ac:dyDescent="0.35">
      <c r="W6" s="51" t="s">
        <v>295</v>
      </c>
      <c r="X6" s="50">
        <v>0.05</v>
      </c>
    </row>
    <row r="7" spans="5:24" s="34" customFormat="1" ht="18" x14ac:dyDescent="0.35">
      <c r="W7" s="51" t="s">
        <v>26</v>
      </c>
      <c r="X7" s="50">
        <v>0.20714285714285713</v>
      </c>
    </row>
    <row r="8" spans="5:24" s="34" customFormat="1" ht="18" x14ac:dyDescent="0.35">
      <c r="W8" s="51" t="s">
        <v>80</v>
      </c>
      <c r="X8" s="50">
        <v>0.4</v>
      </c>
    </row>
    <row r="9" spans="5:24" s="34" customFormat="1" ht="18" x14ac:dyDescent="0.35">
      <c r="W9" s="51" t="s">
        <v>47</v>
      </c>
      <c r="X9" s="50">
        <v>0.18000000000000002</v>
      </c>
    </row>
    <row r="10" spans="5:24" s="34" customFormat="1" ht="18" x14ac:dyDescent="0.35">
      <c r="W10" s="46" t="s">
        <v>290</v>
      </c>
      <c r="X10" s="50">
        <v>0.18387096774193545</v>
      </c>
    </row>
    <row r="11" spans="5:24" s="34" customFormat="1" ht="18" x14ac:dyDescent="0.35">
      <c r="W11"/>
      <c r="X11"/>
    </row>
    <row r="12" spans="5:24" s="34" customFormat="1" ht="18" x14ac:dyDescent="0.35">
      <c r="W12"/>
      <c r="X12"/>
    </row>
    <row r="13" spans="5:24" s="34" customFormat="1" ht="18" x14ac:dyDescent="0.35">
      <c r="W13"/>
      <c r="X13"/>
    </row>
    <row r="14" spans="5:24" s="34" customFormat="1" ht="18" x14ac:dyDescent="0.35">
      <c r="W14"/>
      <c r="X14"/>
    </row>
    <row r="15" spans="5:24" s="34" customFormat="1" ht="18" x14ac:dyDescent="0.35">
      <c r="O15" s="34" t="s">
        <v>299</v>
      </c>
      <c r="W15"/>
      <c r="X15"/>
    </row>
    <row r="16" spans="5:24" s="34" customFormat="1" ht="18" x14ac:dyDescent="0.35">
      <c r="W16"/>
      <c r="X16"/>
    </row>
    <row r="17" spans="23:24" s="34" customFormat="1" ht="18" x14ac:dyDescent="0.35">
      <c r="W17"/>
      <c r="X17"/>
    </row>
    <row r="18" spans="23:24" s="34" customFormat="1" ht="18" x14ac:dyDescent="0.35">
      <c r="W18"/>
      <c r="X18"/>
    </row>
    <row r="19" spans="23:24" s="34" customFormat="1" ht="18" x14ac:dyDescent="0.35">
      <c r="W19"/>
      <c r="X19"/>
    </row>
    <row r="20" spans="23:24" s="34" customFormat="1" ht="18" x14ac:dyDescent="0.35">
      <c r="W20"/>
      <c r="X20"/>
    </row>
    <row r="21" spans="23:24" s="34" customFormat="1" ht="18" x14ac:dyDescent="0.35">
      <c r="W21"/>
      <c r="X21"/>
    </row>
    <row r="22" spans="23:24" s="34" customFormat="1" ht="18" x14ac:dyDescent="0.35">
      <c r="W22"/>
      <c r="X22"/>
    </row>
    <row r="23" spans="23:24" s="34" customFormat="1" ht="18" x14ac:dyDescent="0.35">
      <c r="W23"/>
      <c r="X23"/>
    </row>
    <row r="24" spans="23:24" s="34" customFormat="1" ht="18" x14ac:dyDescent="0.35">
      <c r="W24"/>
      <c r="X24"/>
    </row>
    <row r="25" spans="23:24" s="34" customFormat="1" ht="18" x14ac:dyDescent="0.35">
      <c r="W25"/>
      <c r="X25"/>
    </row>
    <row r="26" spans="23:24" s="34" customFormat="1" ht="18" x14ac:dyDescent="0.35">
      <c r="W26"/>
      <c r="X26"/>
    </row>
    <row r="27" spans="23:24" s="34" customFormat="1" ht="18" x14ac:dyDescent="0.35">
      <c r="W27"/>
      <c r="X27"/>
    </row>
    <row r="28" spans="23:24" s="34" customFormat="1" ht="18" x14ac:dyDescent="0.35">
      <c r="W28"/>
      <c r="X28"/>
    </row>
    <row r="29" spans="23:24" s="34" customFormat="1" ht="18" x14ac:dyDescent="0.35">
      <c r="W29"/>
      <c r="X29"/>
    </row>
    <row r="30" spans="23:24" s="34" customFormat="1" ht="18" x14ac:dyDescent="0.35">
      <c r="W30"/>
      <c r="X30"/>
    </row>
    <row r="31" spans="23:24" s="34" customFormat="1" ht="18" x14ac:dyDescent="0.35">
      <c r="W31"/>
      <c r="X31"/>
    </row>
    <row r="32" spans="23:24" s="34" customFormat="1" ht="18" x14ac:dyDescent="0.35">
      <c r="W32"/>
      <c r="X32"/>
    </row>
    <row r="33" spans="23:24" s="34" customFormat="1" ht="18" x14ac:dyDescent="0.35">
      <c r="W33"/>
      <c r="X33"/>
    </row>
    <row r="34" spans="23:24" s="34" customFormat="1" ht="18" x14ac:dyDescent="0.35">
      <c r="W34"/>
      <c r="X34"/>
    </row>
    <row r="35" spans="23:24" s="34" customFormat="1" ht="18" x14ac:dyDescent="0.35">
      <c r="W35"/>
      <c r="X35"/>
    </row>
    <row r="36" spans="23:24" s="34" customFormat="1" ht="18" x14ac:dyDescent="0.35">
      <c r="W36"/>
      <c r="X36"/>
    </row>
    <row r="37" spans="23:24" s="34" customFormat="1" ht="18" x14ac:dyDescent="0.35">
      <c r="W37"/>
      <c r="X37"/>
    </row>
    <row r="38" spans="23:24" s="34" customFormat="1" ht="18" x14ac:dyDescent="0.35">
      <c r="W38"/>
      <c r="X38"/>
    </row>
    <row r="39" spans="23:24" s="34" customFormat="1" ht="18" x14ac:dyDescent="0.35">
      <c r="W39"/>
      <c r="X39"/>
    </row>
    <row r="40" spans="23:24" s="34" customFormat="1" ht="18" x14ac:dyDescent="0.35">
      <c r="W40"/>
      <c r="X40"/>
    </row>
    <row r="41" spans="23:24" s="34" customFormat="1" ht="18" x14ac:dyDescent="0.35">
      <c r="W41"/>
      <c r="X41"/>
    </row>
    <row r="42" spans="23:24" s="34" customFormat="1" ht="18" x14ac:dyDescent="0.35">
      <c r="W42"/>
      <c r="X42"/>
    </row>
    <row r="43" spans="23:24" s="34" customFormat="1" ht="18" x14ac:dyDescent="0.35">
      <c r="W43"/>
      <c r="X43"/>
    </row>
    <row r="44" spans="23:24" s="34" customFormat="1" ht="18" x14ac:dyDescent="0.35">
      <c r="W44"/>
      <c r="X44"/>
    </row>
    <row r="45" spans="23:24" s="34" customFormat="1" ht="18" x14ac:dyDescent="0.35">
      <c r="W45"/>
      <c r="X45"/>
    </row>
    <row r="46" spans="23:24" s="34" customFormat="1" ht="18" x14ac:dyDescent="0.35">
      <c r="W46"/>
      <c r="X46"/>
    </row>
    <row r="47" spans="23:24" s="34" customFormat="1" ht="18" x14ac:dyDescent="0.35">
      <c r="W47"/>
      <c r="X47"/>
    </row>
    <row r="48" spans="23:24" s="34" customFormat="1" ht="18" x14ac:dyDescent="0.35">
      <c r="W48"/>
      <c r="X48"/>
    </row>
    <row r="49" spans="23:24" s="42" customFormat="1" ht="18" x14ac:dyDescent="0.35">
      <c r="W49" s="49"/>
      <c r="X49" s="49"/>
    </row>
    <row r="50" spans="23:24" s="42" customFormat="1" x14ac:dyDescent="0.3"/>
    <row r="51" spans="23:24" s="42" customFormat="1" x14ac:dyDescent="0.3"/>
    <row r="52" spans="23:24" s="42" customFormat="1" x14ac:dyDescent="0.3"/>
    <row r="53" spans="23:24" s="42" customForma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DCE5306F1BD054EBEE3A7A81C5AE6AB" ma:contentTypeVersion="3" ma:contentTypeDescription="Create a new document." ma:contentTypeScope="" ma:versionID="c4e6b4ad933809ad604a78a8edd3aefb">
  <xsd:schema xmlns:xsd="http://www.w3.org/2001/XMLSchema" xmlns:xs="http://www.w3.org/2001/XMLSchema" xmlns:p="http://schemas.microsoft.com/office/2006/metadata/properties" xmlns:ns2="e9377452-eec8-4f1b-a294-6abc1d5a328e" targetNamespace="http://schemas.microsoft.com/office/2006/metadata/properties" ma:root="true" ma:fieldsID="5266f364a5816924042b96ba8a1e73c6" ns2:_="">
    <xsd:import namespace="e9377452-eec8-4f1b-a294-6abc1d5a328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77452-eec8-4f1b-a294-6abc1d5a32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6DDA19-3946-49BF-9B2F-CBD7FD901C7C}">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4651B60F-E1F1-4481-BB5A-F9915646D660}">
  <ds:schemaRefs>
    <ds:schemaRef ds:uri="http://schemas.microsoft.com/sharepoint/v3/contenttype/forms"/>
  </ds:schemaRefs>
</ds:datastoreItem>
</file>

<file path=customXml/itemProps3.xml><?xml version="1.0" encoding="utf-8"?>
<ds:datastoreItem xmlns:ds="http://schemas.openxmlformats.org/officeDocument/2006/customXml" ds:itemID="{7988C44C-E5AE-49EA-846C-FEFBEDD1C61A}">
  <ds:schemaRefs>
    <ds:schemaRef ds:uri="http://schemas.microsoft.com/office/2006/metadata/contentType"/>
    <ds:schemaRef ds:uri="http://schemas.microsoft.com/office/2006/metadata/properties/metaAttributes"/>
    <ds:schemaRef ds:uri="http://www.w3.org/2000/xmlns/"/>
    <ds:schemaRef ds:uri="http://www.w3.org/2001/XMLSchema"/>
    <ds:schemaRef ds:uri="e9377452-eec8-4f1b-a294-6abc1d5a328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inventory_data</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dc:creator>
  <cp:keywords/>
  <dc:description/>
  <cp:lastModifiedBy>lohith lakshmi reddy</cp:lastModifiedBy>
  <cp:revision/>
  <dcterms:created xsi:type="dcterms:W3CDTF">2025-07-23T06:35:53Z</dcterms:created>
  <dcterms:modified xsi:type="dcterms:W3CDTF">2025-11-06T14:59:30Z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0x010100ADCE5306F1BD054EBEE3A7A81C5AE6AB</vt:lpwstr>
  </property>
</Properties>
</file>